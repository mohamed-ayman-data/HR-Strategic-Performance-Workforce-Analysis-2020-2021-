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ADMIN\Desktop\data analysis deplome\PROJECTS\final project\excl\"/>
    </mc:Choice>
  </mc:AlternateContent>
  <xr:revisionPtr revIDLastSave="0" documentId="13_ncr:1_{0A58D2D4-11F2-4EA7-A136-E9FDABDAC736}" xr6:coauthVersionLast="47" xr6:coauthVersionMax="47" xr10:uidLastSave="{00000000-0000-0000-0000-000000000000}"/>
  <bookViews>
    <workbookView xWindow="-120" yWindow="-120" windowWidth="20730" windowHeight="11040" firstSheet="2" activeTab="2" xr2:uid="{00000000-000D-0000-FFFF-FFFF00000000}"/>
  </bookViews>
  <sheets>
    <sheet name="Department's Info" sheetId="3" state="hidden" r:id="rId1"/>
    <sheet name="Calculation " sheetId="4" state="hidden" r:id="rId2"/>
    <sheet name="Navigation" sheetId="8" r:id="rId3"/>
    <sheet name="emplyee Info " sheetId="7" r:id="rId4"/>
    <sheet name="location overview" sheetId="5" r:id="rId5"/>
    <sheet name="Department Overview" sheetId="6" r:id="rId6"/>
  </sheets>
  <definedNames>
    <definedName name="ExternalData_1" localSheetId="0" hidden="1">'Department''s Info'!$A$1:$O$101</definedName>
    <definedName name="_xlnm.Print_Area" localSheetId="3">'emplyee Info '!$B$1:$T$21</definedName>
    <definedName name="Slicer_الموقع1">#N/A</definedName>
    <definedName name="Slicer_المؤهل_الدراسي1">#N/A</definedName>
    <definedName name="Slicer_الوظيفة1">#N/A</definedName>
  </definedNames>
  <calcPr calcId="191029"/>
  <pivotCaches>
    <pivotCache cacheId="283" r:id="rId7"/>
    <pivotCache cacheId="286" r:id="rId8"/>
    <pivotCache cacheId="289" r:id="rId9"/>
    <pivotCache cacheId="292" r:id="rId10"/>
    <pivotCache cacheId="295" r:id="rId11"/>
    <pivotCache cacheId="298" r:id="rId12"/>
    <pivotCache cacheId="301" r:id="rId13"/>
    <pivotCache cacheId="304"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841E416B-1EF1-43b6-AB56-02D37102CBD5}">
      <x15:pivotCaches>
        <pivotCache cacheId="307" r:id="rId19"/>
        <pivotCache cacheId="310" r:id="rId20"/>
      </x15:pivotCaches>
    </ext>
    <ext xmlns:x15="http://schemas.microsoft.com/office/spreadsheetml/2010/11/main" uri="{983426D0-5260-488c-9760-48F4B6AC55F4}">
      <x15:pivotTableReferences>
        <x15:pivotTableReference r:id="rId21"/>
        <x15:pivotTableReference r:id="rId22"/>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 s Info_102ac720-c8a6-480d-ba34-82699cf5db42" name="Department s Info" connection="Query - Department's Inf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 i="8" l="1"/>
  <c r="V8" i="8"/>
  <c r="V7" i="8"/>
  <c r="O15" i="7"/>
  <c r="F15" i="7"/>
  <c r="O12" i="7"/>
  <c r="O9" i="7"/>
  <c r="O6" i="7"/>
  <c r="F12" i="7"/>
  <c r="F9" i="7"/>
  <c r="U8" i="6"/>
  <c r="U7" i="6"/>
  <c r="U6" i="6"/>
  <c r="U5" i="6"/>
  <c r="U8" i="5"/>
  <c r="U7" i="5"/>
  <c r="U6" i="5"/>
  <c r="U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927A8-EE43-488C-90CB-254EF878811F}" keepAlive="1" name="ModelConnection_ExternalData_1" description="Data Model" type="5" refreshedVersion="8" minRefreshableVersion="5" saveData="1">
    <dbPr connection="Data Model Connection" command="Department s Info" commandType="3"/>
    <extLst>
      <ext xmlns:x15="http://schemas.microsoft.com/office/spreadsheetml/2010/11/main" uri="{DE250136-89BD-433C-8126-D09CA5730AF9}">
        <x15:connection id="" model="1"/>
      </ext>
    </extLst>
  </connection>
  <connection id="2" xr16:uid="{7D4B2672-FD5F-4564-BE64-957C9FD02205}" name="Query - Department's Info" description="Connection to the 'Department's Info' query in the workbook." type="100" refreshedVersion="8" minRefreshableVersion="5">
    <extLst>
      <ext xmlns:x15="http://schemas.microsoft.com/office/spreadsheetml/2010/11/main" uri="{DE250136-89BD-433C-8126-D09CA5730AF9}">
        <x15:connection id="ecb44a24-2b90-4037-a878-ff3f61aa067b"/>
      </ext>
    </extLst>
  </connection>
  <connection id="3" xr16:uid="{581C8A5E-F890-413C-8235-93726236A569}" keepAlive="1" name="Query - Finance5" description="Connection to the 'Finance5' query in the workbook." type="5" refreshedVersion="0" background="1">
    <dbPr connection="Provider=Microsoft.Mashup.OleDb.1;Data Source=$Workbook$;Location=Finance5;Extended Properties=&quot;&quot;" command="SELECT * FROM [Finance5]"/>
  </connection>
  <connection id="4" xr16:uid="{518BB7E6-5407-41CD-8692-9BFE3442BA3A}" keepAlive="1" name="Query - HR4" description="Connection to the 'HR4' query in the workbook." type="5" refreshedVersion="0" background="1">
    <dbPr connection="Provider=Microsoft.Mashup.OleDb.1;Data Source=$Workbook$;Location=HR4;Extended Properties=&quot;&quot;" command="SELECT * FROM [HR4]"/>
  </connection>
  <connection id="5" xr16:uid="{F489FD06-1026-4BC2-8EDA-D2DA22BC489D}" keepAlive="1" name="Query - IT3" description="Connection to the 'IT3' query in the workbook." type="5" refreshedVersion="0" background="1">
    <dbPr connection="Provider=Microsoft.Mashup.OleDb.1;Data Source=$Workbook$;Location=IT3;Extended Properties=&quot;&quot;" command="SELECT * FROM [IT3]"/>
  </connection>
  <connection id="6" xr16:uid="{AF198B26-7100-4899-9B14-C4E57FAD753E}" keepAlive="1" name="Query - Marketing2" description="Connection to the 'Marketing2' query in the workbook." type="5" refreshedVersion="0" background="1">
    <dbPr connection="Provider=Microsoft.Mashup.OleDb.1;Data Source=$Workbook$;Location=Marketing2;Extended Properties=&quot;&quot;" command="SELECT * FROM [Marketing2]"/>
  </connection>
  <connection id="7" xr16:uid="{9576A851-175D-494F-A9CE-FEE219B228DC}" keepAlive="1" name="Query - Sales1" description="Connection to the 'Sales1' query in the workbook." type="5" refreshedVersion="0" background="1">
    <dbPr connection="Provider=Microsoft.Mashup.OleDb.1;Data Source=$Workbook$;Location=Sales1;Extended Properties=&quot;&quot;" command="SELECT * FROM [Sales1]"/>
  </connection>
  <connection id="8" xr16:uid="{CF38CDCF-D610-4BB4-98B3-44BBC6F972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<sst xmlns="http://schemas.openxmlformats.org/spreadsheetml/2006/main" count="503" uniqueCount="92">
  <si>
    <t>المسلسل</t>
  </si>
  <si>
    <t>الرقم الوظيفي</t>
  </si>
  <si>
    <t>اسم الموظف</t>
  </si>
  <si>
    <t>الوظيفة</t>
  </si>
  <si>
    <t>الموقع</t>
  </si>
  <si>
    <t>تاريخ التعيين</t>
  </si>
  <si>
    <t>تاريخ الميلاد</t>
  </si>
  <si>
    <t>المؤهل الدراسي</t>
  </si>
  <si>
    <t>الراتب</t>
  </si>
  <si>
    <t>PER 2019</t>
  </si>
  <si>
    <t>PER 2020</t>
  </si>
  <si>
    <t>علي محمد</t>
  </si>
  <si>
    <t>Financial Manager</t>
  </si>
  <si>
    <t>القاهرة</t>
  </si>
  <si>
    <t>ماجستير</t>
  </si>
  <si>
    <t>خالد محمد</t>
  </si>
  <si>
    <t>Accountant</t>
  </si>
  <si>
    <t>بكالوريوس</t>
  </si>
  <si>
    <t>نسمة كامل</t>
  </si>
  <si>
    <t>طنطا</t>
  </si>
  <si>
    <t>تغريد يحيي</t>
  </si>
  <si>
    <t>حسن أحمد</t>
  </si>
  <si>
    <t>الاسكندرية</t>
  </si>
  <si>
    <t>مؤمن محمد</t>
  </si>
  <si>
    <t>حسين ياسر</t>
  </si>
  <si>
    <t>محمد علاء</t>
  </si>
  <si>
    <t>تامر خالد</t>
  </si>
  <si>
    <t>أحمد حسن</t>
  </si>
  <si>
    <t>HR Manager</t>
  </si>
  <si>
    <t>مهاب أسامة</t>
  </si>
  <si>
    <t>HR Specialist</t>
  </si>
  <si>
    <t>ايمان علي سلامة</t>
  </si>
  <si>
    <t>Recruitment Specialsit</t>
  </si>
  <si>
    <t>الاء أحمد</t>
  </si>
  <si>
    <t>HR Coordinator</t>
  </si>
  <si>
    <t>فادي نور</t>
  </si>
  <si>
    <t>نور يحيي</t>
  </si>
  <si>
    <t>هدي محمد</t>
  </si>
  <si>
    <t>أشرف أحمد</t>
  </si>
  <si>
    <t>يوسف أحمد</t>
  </si>
  <si>
    <t>أحمد فريد</t>
  </si>
  <si>
    <t>نورهان أحمد</t>
  </si>
  <si>
    <t>منه محمود</t>
  </si>
  <si>
    <t>يحيي هادي</t>
  </si>
  <si>
    <t>هالة عبد العال</t>
  </si>
  <si>
    <t>ندي إبراهيم</t>
  </si>
  <si>
    <t>عبد الرحمن محمد</t>
  </si>
  <si>
    <t>IT Manager</t>
  </si>
  <si>
    <t>كامل عصام</t>
  </si>
  <si>
    <t>Software developer</t>
  </si>
  <si>
    <t>اسراء عصام</t>
  </si>
  <si>
    <t>منه أحمد</t>
  </si>
  <si>
    <t>نغم محمد</t>
  </si>
  <si>
    <t>سارة احمد محمد</t>
  </si>
  <si>
    <t>Marketing Manager</t>
  </si>
  <si>
    <t>Digital marketing specialist</t>
  </si>
  <si>
    <t>Products Marketing Coordinator</t>
  </si>
  <si>
    <t>مي محمد ابراهيم</t>
  </si>
  <si>
    <t>محمد راضي</t>
  </si>
  <si>
    <t>مروة محمد عبدالله</t>
  </si>
  <si>
    <t>حازم أحمد</t>
  </si>
  <si>
    <t>مارك يوسف</t>
  </si>
  <si>
    <t>أحمد سمير</t>
  </si>
  <si>
    <t>Sales Manager</t>
  </si>
  <si>
    <t>Sales rep.</t>
  </si>
  <si>
    <t>دبلوم</t>
  </si>
  <si>
    <t>هند بهاء</t>
  </si>
  <si>
    <t>محمد أحمد</t>
  </si>
  <si>
    <t>Row Labels</t>
  </si>
  <si>
    <t>Grand Total</t>
  </si>
  <si>
    <t>سنوات الخبرة</t>
  </si>
  <si>
    <t>العمر</t>
  </si>
  <si>
    <t>Total Average</t>
  </si>
  <si>
    <t>Delta</t>
  </si>
  <si>
    <t>Column Labels</t>
  </si>
  <si>
    <t>Average of Delta</t>
  </si>
  <si>
    <t>Average of Total Average</t>
  </si>
  <si>
    <t>Sum of الراتب</t>
  </si>
  <si>
    <t>Count of اسم الموظف</t>
  </si>
  <si>
    <t>AVG.Experience</t>
  </si>
  <si>
    <t>AVG.Age</t>
  </si>
  <si>
    <t>MAX Salary</t>
  </si>
  <si>
    <t>AVG.Salary</t>
  </si>
  <si>
    <t>Min of Salary</t>
  </si>
  <si>
    <t>Employee ID</t>
  </si>
  <si>
    <t>Job Title</t>
  </si>
  <si>
    <t>Location</t>
  </si>
  <si>
    <t>Year of Experince</t>
  </si>
  <si>
    <t>Age</t>
  </si>
  <si>
    <t>performance</t>
  </si>
  <si>
    <t>Degree</t>
  </si>
  <si>
    <t>Employee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</si>
</sst>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k&quot;"/>
    <numFmt numFmtId="165" formatCode="0.0,&quot;k&quot;"/>
    <numFmt numFmtId="166" formatCode="0.0"/>
    <numFmt numFmtId="167" formatCode="0.00,&quot;K&quot;"/>
  </numFmts>
  <fonts count="6" x14ac:knownFonts="1">
    <font>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
      <b/>
      <sz val="14"/>
      <color rgb="FF232121"/>
      <name val="Calibri"/>
      <family val="2"/>
      <scheme val="minor"/>
    </font>
    <font>
      <b/>
      <sz val="14"/>
      <color rgb="FF4B4848"/>
      <name val="Calibri"/>
      <family val="2"/>
      <scheme val="minor"/>
    </font>
  </fonts>
  <fills count="8">
    <fill>
      <patternFill patternType="none"/>
    </fill>
    <fill>
      <patternFill patternType="gray125"/>
    </fill>
    <fill>
      <patternFill patternType="solid">
        <fgColor rgb="FFFBFBFB"/>
        <bgColor indexed="64"/>
      </patternFill>
    </fill>
    <fill>
      <patternFill patternType="solid">
        <fgColor rgb="FF1A1A1A"/>
        <bgColor indexed="64"/>
      </patternFill>
    </fill>
    <fill>
      <patternFill patternType="solid">
        <fgColor rgb="FFFFB787"/>
        <bgColor indexed="64"/>
      </patternFill>
    </fill>
    <fill>
      <patternFill patternType="solid">
        <fgColor rgb="FFFD5732"/>
        <bgColor indexed="64"/>
      </patternFill>
    </fill>
    <fill>
      <patternFill patternType="solid">
        <fgColor rgb="FFF1F1F1"/>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0" fontId="0" fillId="2" borderId="0" xfId="0" applyFill="1"/>
    <xf numFmtId="9" fontId="0" fillId="0" borderId="0" xfId="1" applyFont="1"/>
    <xf numFmtId="164" fontId="0" fillId="0" borderId="0" xfId="0" applyNumberFormat="1"/>
    <xf numFmtId="165" fontId="0" fillId="0" borderId="0" xfId="0" applyNumberFormat="1"/>
    <xf numFmtId="167" fontId="0" fillId="0" borderId="0" xfId="0" applyNumberFormat="1"/>
    <xf numFmtId="1" fontId="0" fillId="0" borderId="0" xfId="0" applyNumberFormat="1"/>
    <xf numFmtId="0" fontId="0" fillId="0" borderId="0" xfId="0" applyAlignment="1">
      <alignment textRotation="45"/>
    </xf>
    <xf numFmtId="0" fontId="0" fillId="3" borderId="0" xfId="0" applyFill="1"/>
    <xf numFmtId="0" fontId="3" fillId="0" borderId="0" xfId="0" applyFont="1"/>
    <xf numFmtId="9" fontId="3" fillId="0" borderId="0" xfId="1" applyFont="1"/>
    <xf numFmtId="165" fontId="3" fillId="0" borderId="0" xfId="0" applyNumberFormat="1" applyFont="1"/>
    <xf numFmtId="166" fontId="3" fillId="0" borderId="0" xfId="0" applyNumberFormat="1" applyFont="1"/>
    <xf numFmtId="0" fontId="0" fillId="6" borderId="0" xfId="0" applyFill="1"/>
    <xf numFmtId="0" fontId="4" fillId="5" borderId="0" xfId="0" applyFont="1" applyFill="1" applyAlignment="1">
      <alignment horizontal="center" vertical="center"/>
    </xf>
    <xf numFmtId="0" fontId="5" fillId="4" borderId="0" xfId="0" applyFont="1" applyFill="1" applyAlignment="1">
      <alignment horizontal="center" vertical="center"/>
    </xf>
    <xf numFmtId="9" fontId="5" fillId="4" borderId="0" xfId="0" applyNumberFormat="1" applyFont="1" applyFill="1" applyAlignment="1">
      <alignment horizontal="center" vertical="center"/>
    </xf>
    <xf numFmtId="0" fontId="0" fillId="7" borderId="0" xfId="0" applyFill="1"/>
    <xf numFmtId="1" fontId="3" fillId="0" borderId="0" xfId="0" applyNumberFormat="1" applyFont="1"/>
    <xf numFmtId="0" fontId="0" fillId="0" borderId="0" xfId="0" applyNumberFormat="1"/>
  </cellXfs>
  <cellStyles count="2">
    <cellStyle name="Normal" xfId="0" builtinId="0"/>
    <cellStyle name="Percent" xfId="1" builtinId="5"/>
  </cellStyles>
  <dxfs count="65">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2" formatCode="0.00"/>
    </dxf>
    <dxf>
      <numFmt numFmtId="13" formatCode="0%"/>
    </dxf>
    <dxf>
      <numFmt numFmtId="13" formatCode="0%"/>
    </dxf>
    <dxf>
      <numFmt numFmtId="165" formatCode="0.0,&quot;k&quot;"/>
    </dxf>
    <dxf>
      <numFmt numFmtId="167" formatCode="0.00,&quot;K&quot;"/>
    </dxf>
    <dxf>
      <numFmt numFmtId="167" formatCode="0.00,&quot;K&quot;"/>
    </dxf>
    <dxf>
      <numFmt numFmtId="13" formatCode="0%"/>
    </dxf>
    <dxf>
      <numFmt numFmtId="13" formatCode="0%"/>
    </dxf>
    <dxf>
      <numFmt numFmtId="2" formatCode="0.00"/>
    </dxf>
    <dxf>
      <numFmt numFmtId="165" formatCode="0.0,&quot;k&quot;"/>
    </dxf>
    <dxf>
      <numFmt numFmtId="0" formatCode="General"/>
    </dxf>
    <dxf>
      <numFmt numFmtId="19" formatCode="m/d/yyyy"/>
    </dxf>
    <dxf>
      <numFmt numFmtId="19" formatCode="m/d/yyyy"/>
    </dxf>
    <dxf>
      <numFmt numFmtId="0" formatCode="General"/>
    </dxf>
    <dxf>
      <numFmt numFmtId="0" formatCode="General"/>
    </dxf>
    <dxf>
      <numFmt numFmtId="0" formatCode="General"/>
    </dxf>
    <dxf>
      <font>
        <b/>
        <i val="0"/>
        <sz val="12"/>
        <color theme="0"/>
      </font>
      <fill>
        <patternFill>
          <bgColor rgb="FFC21D03"/>
        </patternFill>
      </fill>
    </dxf>
    <dxf>
      <fill>
        <patternFill>
          <bgColor theme="0" tint="-4.9989318521683403E-2"/>
        </patternFill>
      </fill>
    </dxf>
    <dxf>
      <font>
        <b/>
        <i val="0"/>
        <sz val="12"/>
        <color theme="0"/>
      </font>
      <fill>
        <patternFill>
          <bgColor rgb="FFC21D03"/>
        </patternFill>
      </fill>
    </dxf>
    <dxf>
      <fill>
        <patternFill>
          <bgColor theme="0" tint="-4.9989318521683403E-2"/>
        </patternFill>
      </fill>
    </dxf>
  </dxfs>
  <tableStyles count="2" defaultTableStyle="TableStyleMedium2" defaultPivotStyle="PivotStyleLight16">
    <tableStyle name="test1" pivot="0" table="0" count="9" xr9:uid="{DFE41999-0B61-418B-BB4D-94BAAAB12792}">
      <tableStyleElement type="wholeTable" dxfId="64"/>
      <tableStyleElement type="headerRow" dxfId="63"/>
    </tableStyle>
    <tableStyle name="test1 2" pivot="0" table="0" count="9" xr9:uid="{6D45404E-A9EA-4ADD-A90C-06BA2A6622B0}">
      <tableStyleElement type="wholeTable" dxfId="62"/>
      <tableStyleElement type="headerRow" dxfId="61"/>
    </tableStyle>
  </tableStyles>
  <colors>
    <mruColors>
      <color rgb="FF4B4848"/>
      <color rgb="FF232121"/>
      <color rgb="FFE0E0E0"/>
      <color rgb="FFC8C8C8"/>
      <color rgb="FF00829B"/>
      <color rgb="FFFD5732"/>
      <color rgb="FFF1F1F1"/>
      <color rgb="FFFFB787"/>
      <color rgb="FF00668C"/>
      <color rgb="FFA64AFF"/>
    </mruColors>
  </colors>
  <extLst>
    <ext xmlns:x14="http://schemas.microsoft.com/office/spreadsheetml/2009/9/main" uri="{46F421CA-312F-682f-3DD2-61675219B42D}">
      <x14:dxfs count="12">
        <dxf>
          <font>
            <color auto="1"/>
          </font>
        </dxf>
        <dxf>
          <font>
            <b/>
            <i val="0"/>
            <strike val="0"/>
            <sz val="12"/>
            <color theme="0"/>
          </font>
        </dxf>
        <dxf>
          <font>
            <color theme="0"/>
          </font>
        </dxf>
        <dxf>
          <fill>
            <patternFill>
              <bgColor rgb="FF393939"/>
            </patternFill>
          </fill>
        </dxf>
        <dxf>
          <font>
            <b/>
            <i val="0"/>
            <sz val="11"/>
            <color theme="0"/>
          </font>
        </dxf>
        <dxf>
          <font>
            <b/>
            <i val="0"/>
            <strike val="0"/>
            <sz val="12"/>
            <color theme="0"/>
          </font>
          <fill>
            <patternFill>
              <bgColor rgb="FFBEBEBE"/>
            </patternFill>
          </fill>
          <border diagonalUp="0" diagonalDown="0">
            <left/>
            <right/>
            <top/>
            <bottom/>
            <vertical/>
            <horizontal/>
          </border>
        </dxf>
        <dxf>
          <font>
            <color auto="1"/>
          </font>
        </dxf>
        <dxf>
          <font>
            <b/>
            <i val="0"/>
            <strike val="0"/>
            <sz val="12"/>
            <color theme="0"/>
          </font>
        </dxf>
        <dxf>
          <font>
            <color theme="0"/>
          </font>
        </dxf>
        <dxf>
          <font>
            <color theme="0"/>
          </font>
          <fill>
            <patternFill>
              <bgColor rgb="FF393939"/>
            </patternFill>
          </fill>
        </dxf>
        <dxf>
          <font>
            <b/>
            <i val="0"/>
            <sz val="11"/>
            <color theme="0"/>
          </font>
        </dxf>
        <dxf>
          <font>
            <b/>
            <i val="0"/>
            <strike val="0"/>
            <sz val="12"/>
            <color theme="1"/>
          </font>
          <fill>
            <patternFill>
              <bgColor rgb="FFBEBEB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test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SelectedItemWithNoData"/>
          </x14:slicerStyleElements>
        </x14:slicerStyle>
        <x14:slicerStyle name="test1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 type="hovered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Table" Target="pivotTables/pivotTabl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0.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Table" Target="pivotTables/pivotTabl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Total Average</c:v>
          </c:tx>
          <c:spPr>
            <a:solidFill>
              <a:schemeClr val="accent1"/>
            </a:solidFill>
            <a:ln>
              <a:noFill/>
            </a:ln>
            <a:effectLst/>
          </c:spPr>
          <c:invertIfNegative val="0"/>
          <c:cat>
            <c:strLit>
              <c:ptCount val="3"/>
              <c:pt idx="0">
                <c:v>الاسكندرية</c:v>
              </c:pt>
              <c:pt idx="1">
                <c:v>القاهرة</c:v>
              </c:pt>
              <c:pt idx="2">
                <c:v>طنطا</c:v>
              </c:pt>
            </c:strLit>
          </c:cat>
          <c:val>
            <c:numLit>
              <c:formatCode>General</c:formatCode>
              <c:ptCount val="3"/>
              <c:pt idx="0">
                <c:v>0.73739130434782607</c:v>
              </c:pt>
              <c:pt idx="1">
                <c:v>0.79611111111111121</c:v>
              </c:pt>
              <c:pt idx="2">
                <c:v>0.77444444444444427</c:v>
              </c:pt>
            </c:numLit>
          </c:val>
          <c:extLst>
            <c:ext xmlns:c16="http://schemas.microsoft.com/office/drawing/2014/chart" uri="{C3380CC4-5D6E-409C-BE32-E72D297353CC}">
              <c16:uniqueId val="{00000000-7215-465A-AB88-87856518C8A7}"/>
            </c:ext>
          </c:extLst>
        </c:ser>
        <c:ser>
          <c:idx val="1"/>
          <c:order val="1"/>
          <c:tx>
            <c:v>Average of Delta</c:v>
          </c:tx>
          <c:spPr>
            <a:solidFill>
              <a:schemeClr val="accent2"/>
            </a:solidFill>
            <a:ln>
              <a:noFill/>
            </a:ln>
            <a:effectLst/>
          </c:spPr>
          <c:invertIfNegative val="0"/>
          <c:cat>
            <c:strLit>
              <c:ptCount val="3"/>
              <c:pt idx="0">
                <c:v>الاسكندرية</c:v>
              </c:pt>
              <c:pt idx="1">
                <c:v>القاهرة</c:v>
              </c:pt>
              <c:pt idx="2">
                <c:v>طنطا</c:v>
              </c:pt>
            </c:strLit>
          </c:cat>
          <c:val>
            <c:numLit>
              <c:formatCode>General</c:formatCode>
              <c:ptCount val="3"/>
              <c:pt idx="0">
                <c:v>-0.15956521739130439</c:v>
              </c:pt>
              <c:pt idx="1">
                <c:v>-4.7222222222222228E-2</c:v>
              </c:pt>
              <c:pt idx="2">
                <c:v>-8.7777777777777788E-2</c:v>
              </c:pt>
            </c:numLit>
          </c:val>
          <c:extLst>
            <c:ext xmlns:c16="http://schemas.microsoft.com/office/drawing/2014/chart" uri="{C3380CC4-5D6E-409C-BE32-E72D297353CC}">
              <c16:uniqueId val="{00000002-7215-465A-AB88-87856518C8A7}"/>
            </c:ext>
          </c:extLst>
        </c:ser>
        <c:dLbls>
          <c:showLegendKey val="0"/>
          <c:showVal val="0"/>
          <c:showCatName val="0"/>
          <c:showSerName val="0"/>
          <c:showPercent val="0"/>
          <c:showBubbleSize val="0"/>
        </c:dLbls>
        <c:gapWidth val="219"/>
        <c:overlap val="-27"/>
        <c:axId val="2124419200"/>
        <c:axId val="2124420160"/>
      </c:barChart>
      <c:catAx>
        <c:axId val="21244192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20160"/>
        <c:crosses val="autoZero"/>
        <c:auto val="1"/>
        <c:lblAlgn val="ctr"/>
        <c:lblOffset val="100"/>
        <c:noMultiLvlLbl val="0"/>
        <c:extLst>
          <c:ext xmlns:c15="http://schemas.microsoft.com/office/drawing/2012/chart" uri="{F40574EE-89B7-4290-83BB-5DA773EAF853}">
            <c15:numFmt c:formatCode="General" c:sourceLinked="1"/>
          </c:ext>
        </c:extLst>
      </c:catAx>
      <c:valAx>
        <c:axId val="21244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192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[Mohamd Ayman final project (Excl).xlsx]PivotChartTable1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 '!$F$1</c:f>
              <c:strCache>
                <c:ptCount val="1"/>
                <c:pt idx="0">
                  <c:v>AVG.Experience</c:v>
                </c:pt>
              </c:strCache>
            </c:strRef>
          </c:tx>
          <c:spPr>
            <a:solidFill>
              <a:schemeClr val="accent1"/>
            </a:solidFill>
            <a:ln>
              <a:noFill/>
            </a:ln>
            <a:effectLst/>
          </c:spPr>
          <c:invertIfNegative val="0"/>
          <c:cat>
            <c:strRef>
              <c:f>'Calculation '!$E$2:$E$5</c:f>
              <c:strCache>
                <c:ptCount val="3"/>
                <c:pt idx="0">
                  <c:v>الاسكندرية</c:v>
                </c:pt>
                <c:pt idx="1">
                  <c:v>القاهرة</c:v>
                </c:pt>
                <c:pt idx="2">
                  <c:v>طنطا</c:v>
                </c:pt>
              </c:strCache>
            </c:strRef>
          </c:cat>
          <c:val>
            <c:numRef>
              <c:f>'Calculation '!$F$2:$F$5</c:f>
              <c:numCache>
                <c:formatCode>0</c:formatCode>
                <c:ptCount val="3"/>
                <c:pt idx="0">
                  <c:v>15.565217391304348</c:v>
                </c:pt>
                <c:pt idx="1">
                  <c:v>14.055555555555555</c:v>
                </c:pt>
                <c:pt idx="2">
                  <c:v>14.166666666666666</c:v>
                </c:pt>
              </c:numCache>
            </c:numRef>
          </c:val>
          <c:extLst>
            <c:ext xmlns:c16="http://schemas.microsoft.com/office/drawing/2014/chart" uri="{C3380CC4-5D6E-409C-BE32-E72D297353CC}">
              <c16:uniqueId val="{00000000-3D69-488A-8E4E-77F7EC82EC38}"/>
            </c:ext>
          </c:extLst>
        </c:ser>
        <c:ser>
          <c:idx val="1"/>
          <c:order val="1"/>
          <c:tx>
            <c:strRef>
              <c:f>'Calculation '!$G$1</c:f>
              <c:strCache>
                <c:ptCount val="1"/>
                <c:pt idx="0">
                  <c:v>AVG.Age</c:v>
                </c:pt>
              </c:strCache>
            </c:strRef>
          </c:tx>
          <c:spPr>
            <a:solidFill>
              <a:schemeClr val="accent2"/>
            </a:solidFill>
            <a:ln>
              <a:noFill/>
            </a:ln>
            <a:effectLst/>
          </c:spPr>
          <c:invertIfNegative val="0"/>
          <c:cat>
            <c:strRef>
              <c:f>'Calculation '!$E$2:$E$5</c:f>
              <c:strCache>
                <c:ptCount val="3"/>
                <c:pt idx="0">
                  <c:v>الاسكندرية</c:v>
                </c:pt>
                <c:pt idx="1">
                  <c:v>القاهرة</c:v>
                </c:pt>
                <c:pt idx="2">
                  <c:v>طنطا</c:v>
                </c:pt>
              </c:strCache>
            </c:strRef>
          </c:cat>
          <c:val>
            <c:numRef>
              <c:f>'Calculation '!$G$2:$G$5</c:f>
              <c:numCache>
                <c:formatCode>0.00</c:formatCode>
                <c:ptCount val="3"/>
                <c:pt idx="0">
                  <c:v>51.804347826086953</c:v>
                </c:pt>
                <c:pt idx="1">
                  <c:v>51.055555555555557</c:v>
                </c:pt>
                <c:pt idx="2">
                  <c:v>50.166666666666664</c:v>
                </c:pt>
              </c:numCache>
            </c:numRef>
          </c:val>
          <c:extLst>
            <c:ext xmlns:c16="http://schemas.microsoft.com/office/drawing/2014/chart" uri="{C3380CC4-5D6E-409C-BE32-E72D297353CC}">
              <c16:uniqueId val="{00000001-3D69-488A-8E4E-77F7EC82EC38}"/>
            </c:ext>
          </c:extLst>
        </c:ser>
        <c:dLbls>
          <c:showLegendKey val="0"/>
          <c:showVal val="0"/>
          <c:showCatName val="0"/>
          <c:showSerName val="0"/>
          <c:showPercent val="0"/>
          <c:showBubbleSize val="0"/>
        </c:dLbls>
        <c:gapWidth val="182"/>
        <c:overlap val="100"/>
        <c:axId val="2124442720"/>
        <c:axId val="2124470080"/>
      </c:barChart>
      <c:catAx>
        <c:axId val="2124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70080"/>
        <c:crosses val="autoZero"/>
        <c:auto val="1"/>
        <c:lblAlgn val="ctr"/>
        <c:lblOffset val="100"/>
        <c:noMultiLvlLbl val="0"/>
      </c:catAx>
      <c:valAx>
        <c:axId val="2124470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4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'!$J$1</c:f>
              <c:strCache>
                <c:ptCount val="1"/>
                <c:pt idx="0">
                  <c:v>MAX Salary</c:v>
                </c:pt>
              </c:strCache>
            </c:strRef>
          </c:tx>
          <c:spPr>
            <a:solidFill>
              <a:schemeClr val="accent1"/>
            </a:solidFill>
            <a:ln>
              <a:noFill/>
            </a:ln>
            <a:effectLst/>
          </c:spPr>
          <c:invertIfNegative val="0"/>
          <c:cat>
            <c:strRef>
              <c:f>'Calculation '!$I$2:$I$5</c:f>
              <c:strCache>
                <c:ptCount val="3"/>
                <c:pt idx="0">
                  <c:v>الاسكندرية</c:v>
                </c:pt>
                <c:pt idx="1">
                  <c:v>القاهرة</c:v>
                </c:pt>
                <c:pt idx="2">
                  <c:v>طنطا</c:v>
                </c:pt>
              </c:strCache>
            </c:strRef>
          </c:cat>
          <c:val>
            <c:numRef>
              <c:f>'Calculation '!$J$2:$J$5</c:f>
              <c:numCache>
                <c:formatCode>0.0,"k"</c:formatCode>
                <c:ptCount val="3"/>
                <c:pt idx="0">
                  <c:v>24472</c:v>
                </c:pt>
                <c:pt idx="1">
                  <c:v>35000</c:v>
                </c:pt>
                <c:pt idx="2">
                  <c:v>25000</c:v>
                </c:pt>
              </c:numCache>
            </c:numRef>
          </c:val>
          <c:extLst>
            <c:ext xmlns:c16="http://schemas.microsoft.com/office/drawing/2014/chart" uri="{C3380CC4-5D6E-409C-BE32-E72D297353CC}">
              <c16:uniqueId val="{00000000-6EE1-4C4E-8ECC-B231D018542D}"/>
            </c:ext>
          </c:extLst>
        </c:ser>
        <c:ser>
          <c:idx val="1"/>
          <c:order val="1"/>
          <c:tx>
            <c:strRef>
              <c:f>'Calculation '!$K$1</c:f>
              <c:strCache>
                <c:ptCount val="1"/>
                <c:pt idx="0">
                  <c:v>AVG.Salary</c:v>
                </c:pt>
              </c:strCache>
            </c:strRef>
          </c:tx>
          <c:spPr>
            <a:solidFill>
              <a:schemeClr val="accent2"/>
            </a:solidFill>
            <a:ln>
              <a:noFill/>
            </a:ln>
            <a:effectLst/>
          </c:spPr>
          <c:invertIfNegative val="0"/>
          <c:cat>
            <c:strRef>
              <c:f>'Calculation '!$I$2:$I$5</c:f>
              <c:strCache>
                <c:ptCount val="3"/>
                <c:pt idx="0">
                  <c:v>الاسكندرية</c:v>
                </c:pt>
                <c:pt idx="1">
                  <c:v>القاهرة</c:v>
                </c:pt>
                <c:pt idx="2">
                  <c:v>طنطا</c:v>
                </c:pt>
              </c:strCache>
            </c:strRef>
          </c:cat>
          <c:val>
            <c:numRef>
              <c:f>'Calculation '!$K$2:$K$5</c:f>
              <c:numCache>
                <c:formatCode>0.0,"k"</c:formatCode>
                <c:ptCount val="3"/>
                <c:pt idx="0">
                  <c:v>13369.434782608696</c:v>
                </c:pt>
                <c:pt idx="1">
                  <c:v>13490</c:v>
                </c:pt>
                <c:pt idx="2">
                  <c:v>12029.333333333334</c:v>
                </c:pt>
              </c:numCache>
            </c:numRef>
          </c:val>
          <c:extLst>
            <c:ext xmlns:c16="http://schemas.microsoft.com/office/drawing/2014/chart" uri="{C3380CC4-5D6E-409C-BE32-E72D297353CC}">
              <c16:uniqueId val="{00000001-6EE1-4C4E-8ECC-B231D018542D}"/>
            </c:ext>
          </c:extLst>
        </c:ser>
        <c:ser>
          <c:idx val="2"/>
          <c:order val="2"/>
          <c:tx>
            <c:strRef>
              <c:f>'Calculation '!$L$1</c:f>
              <c:strCache>
                <c:ptCount val="1"/>
                <c:pt idx="0">
                  <c:v>Min of Salary</c:v>
                </c:pt>
              </c:strCache>
            </c:strRef>
          </c:tx>
          <c:spPr>
            <a:solidFill>
              <a:schemeClr val="accent3"/>
            </a:solidFill>
            <a:ln>
              <a:noFill/>
            </a:ln>
            <a:effectLst/>
          </c:spPr>
          <c:invertIfNegative val="0"/>
          <c:cat>
            <c:strRef>
              <c:f>'Calculation '!$I$2:$I$5</c:f>
              <c:strCache>
                <c:ptCount val="3"/>
                <c:pt idx="0">
                  <c:v>الاسكندرية</c:v>
                </c:pt>
                <c:pt idx="1">
                  <c:v>القاهرة</c:v>
                </c:pt>
                <c:pt idx="2">
                  <c:v>طنطا</c:v>
                </c:pt>
              </c:strCache>
            </c:strRef>
          </c:cat>
          <c:val>
            <c:numRef>
              <c:f>'Calculation '!$L$2:$L$5</c:f>
              <c:numCache>
                <c:formatCode>0.0,"k"</c:formatCode>
                <c:ptCount val="3"/>
                <c:pt idx="0">
                  <c:v>1428</c:v>
                </c:pt>
                <c:pt idx="1">
                  <c:v>1673</c:v>
                </c:pt>
                <c:pt idx="2">
                  <c:v>1952</c:v>
                </c:pt>
              </c:numCache>
            </c:numRef>
          </c:val>
          <c:extLst>
            <c:ext xmlns:c16="http://schemas.microsoft.com/office/drawing/2014/chart" uri="{C3380CC4-5D6E-409C-BE32-E72D297353CC}">
              <c16:uniqueId val="{00000002-6EE1-4C4E-8ECC-B231D018542D}"/>
            </c:ext>
          </c:extLst>
        </c:ser>
        <c:dLbls>
          <c:showLegendKey val="0"/>
          <c:showVal val="0"/>
          <c:showCatName val="0"/>
          <c:showSerName val="0"/>
          <c:showPercent val="0"/>
          <c:showBubbleSize val="0"/>
        </c:dLbls>
        <c:gapWidth val="219"/>
        <c:overlap val="-27"/>
        <c:axId val="2124468640"/>
        <c:axId val="2124464320"/>
      </c:barChart>
      <c:catAx>
        <c:axId val="21244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64320"/>
        <c:crosses val="autoZero"/>
        <c:auto val="1"/>
        <c:lblAlgn val="ctr"/>
        <c:lblOffset val="100"/>
        <c:noMultiLvlLbl val="0"/>
      </c:catAx>
      <c:valAx>
        <c:axId val="212446432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'!$O$1:$O$2</c:f>
              <c:strCache>
                <c:ptCount val="1"/>
                <c:pt idx="0">
                  <c:v>الاسكندرية</c:v>
                </c:pt>
              </c:strCache>
            </c:strRef>
          </c:tx>
          <c:spPr>
            <a:solidFill>
              <a:schemeClr val="accent1"/>
            </a:solidFill>
            <a:ln>
              <a:noFill/>
            </a:ln>
            <a:effectLst/>
          </c:spPr>
          <c:invertIfNegative val="0"/>
          <c:cat>
            <c:strRef>
              <c:f>'Calculation '!$N$3:$N$15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'!$O$3:$O$15</c:f>
              <c:numCache>
                <c:formatCode>0.00,"K"</c:formatCode>
                <c:ptCount val="13"/>
                <c:pt idx="0">
                  <c:v>40334</c:v>
                </c:pt>
                <c:pt idx="1">
                  <c:v>42080</c:v>
                </c:pt>
                <c:pt idx="3">
                  <c:v>11445</c:v>
                </c:pt>
                <c:pt idx="4">
                  <c:v>20500</c:v>
                </c:pt>
                <c:pt idx="5">
                  <c:v>37121</c:v>
                </c:pt>
                <c:pt idx="7">
                  <c:v>21575</c:v>
                </c:pt>
                <c:pt idx="8">
                  <c:v>105488</c:v>
                </c:pt>
                <c:pt idx="9">
                  <c:v>66243</c:v>
                </c:pt>
                <c:pt idx="11">
                  <c:v>198100</c:v>
                </c:pt>
                <c:pt idx="12">
                  <c:v>72108</c:v>
                </c:pt>
              </c:numCache>
            </c:numRef>
          </c:val>
          <c:extLst>
            <c:ext xmlns:c16="http://schemas.microsoft.com/office/drawing/2014/chart" uri="{C3380CC4-5D6E-409C-BE32-E72D297353CC}">
              <c16:uniqueId val="{00000000-7543-4FC8-8415-00E187B8F056}"/>
            </c:ext>
          </c:extLst>
        </c:ser>
        <c:ser>
          <c:idx val="1"/>
          <c:order val="1"/>
          <c:tx>
            <c:strRef>
              <c:f>'Calculation '!$P$1:$P$2</c:f>
              <c:strCache>
                <c:ptCount val="1"/>
                <c:pt idx="0">
                  <c:v>القاهرة</c:v>
                </c:pt>
              </c:strCache>
            </c:strRef>
          </c:tx>
          <c:spPr>
            <a:solidFill>
              <a:schemeClr val="accent2"/>
            </a:solidFill>
            <a:ln>
              <a:noFill/>
            </a:ln>
            <a:effectLst/>
          </c:spPr>
          <c:invertIfNegative val="0"/>
          <c:cat>
            <c:strRef>
              <c:f>'Calculation '!$N$3:$N$15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'!$P$3:$P$15</c:f>
              <c:numCache>
                <c:formatCode>0.00,"K"</c:formatCode>
                <c:ptCount val="13"/>
                <c:pt idx="0">
                  <c:v>32020</c:v>
                </c:pt>
                <c:pt idx="1">
                  <c:v>25638</c:v>
                </c:pt>
                <c:pt idx="2">
                  <c:v>26520</c:v>
                </c:pt>
                <c:pt idx="3">
                  <c:v>32267</c:v>
                </c:pt>
                <c:pt idx="5">
                  <c:v>6178</c:v>
                </c:pt>
                <c:pt idx="8">
                  <c:v>54571</c:v>
                </c:pt>
                <c:pt idx="9">
                  <c:v>21765</c:v>
                </c:pt>
                <c:pt idx="10">
                  <c:v>35000</c:v>
                </c:pt>
                <c:pt idx="11">
                  <c:v>240525</c:v>
                </c:pt>
                <c:pt idx="12">
                  <c:v>11156</c:v>
                </c:pt>
              </c:numCache>
            </c:numRef>
          </c:val>
          <c:extLst>
            <c:ext xmlns:c16="http://schemas.microsoft.com/office/drawing/2014/chart" uri="{C3380CC4-5D6E-409C-BE32-E72D297353CC}">
              <c16:uniqueId val="{00000004-8037-4A0E-9D22-7D34E6CF6A8E}"/>
            </c:ext>
          </c:extLst>
        </c:ser>
        <c:ser>
          <c:idx val="2"/>
          <c:order val="2"/>
          <c:tx>
            <c:strRef>
              <c:f>'Calculation '!$Q$1:$Q$2</c:f>
              <c:strCache>
                <c:ptCount val="1"/>
                <c:pt idx="0">
                  <c:v>طنطا</c:v>
                </c:pt>
              </c:strCache>
            </c:strRef>
          </c:tx>
          <c:spPr>
            <a:solidFill>
              <a:schemeClr val="accent3"/>
            </a:solidFill>
            <a:ln>
              <a:noFill/>
            </a:ln>
            <a:effectLst/>
          </c:spPr>
          <c:invertIfNegative val="0"/>
          <c:cat>
            <c:strRef>
              <c:f>'Calculation '!$N$3:$N$15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'!$Q$3:$Q$15</c:f>
              <c:numCache>
                <c:formatCode>0.00,"K"</c:formatCode>
                <c:ptCount val="13"/>
                <c:pt idx="0">
                  <c:v>40893</c:v>
                </c:pt>
                <c:pt idx="3">
                  <c:v>29348</c:v>
                </c:pt>
                <c:pt idx="5">
                  <c:v>20121</c:v>
                </c:pt>
                <c:pt idx="6">
                  <c:v>50000</c:v>
                </c:pt>
                <c:pt idx="8">
                  <c:v>15730</c:v>
                </c:pt>
                <c:pt idx="9">
                  <c:v>19987</c:v>
                </c:pt>
                <c:pt idx="11">
                  <c:v>36545</c:v>
                </c:pt>
                <c:pt idx="12">
                  <c:v>3904</c:v>
                </c:pt>
              </c:numCache>
            </c:numRef>
          </c:val>
          <c:extLst>
            <c:ext xmlns:c16="http://schemas.microsoft.com/office/drawing/2014/chart" uri="{C3380CC4-5D6E-409C-BE32-E72D297353CC}">
              <c16:uniqueId val="{00000005-8037-4A0E-9D22-7D34E6CF6A8E}"/>
            </c:ext>
          </c:extLst>
        </c:ser>
        <c:dLbls>
          <c:showLegendKey val="0"/>
          <c:showVal val="0"/>
          <c:showCatName val="0"/>
          <c:showSerName val="0"/>
          <c:showPercent val="0"/>
          <c:showBubbleSize val="0"/>
        </c:dLbls>
        <c:gapWidth val="219"/>
        <c:overlap val="-27"/>
        <c:axId val="2124470560"/>
        <c:axId val="2124442240"/>
      </c:barChart>
      <c:catAx>
        <c:axId val="212447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42240"/>
        <c:crosses val="autoZero"/>
        <c:auto val="1"/>
        <c:lblAlgn val="ctr"/>
        <c:lblOffset val="100"/>
        <c:noMultiLvlLbl val="0"/>
      </c:catAx>
      <c:valAx>
        <c:axId val="212444224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7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'!$T$1:$T$2</c:f>
              <c:strCache>
                <c:ptCount val="1"/>
                <c:pt idx="0">
                  <c:v>الاسكندرية</c:v>
                </c:pt>
              </c:strCache>
            </c:strRef>
          </c:tx>
          <c:spPr>
            <a:solidFill>
              <a:schemeClr val="accent1"/>
            </a:solidFill>
            <a:ln>
              <a:noFill/>
            </a:ln>
            <a:effectLst/>
          </c:spPr>
          <c:invertIfNegative val="0"/>
          <c:cat>
            <c:strRef>
              <c:f>'Calculation '!$S$3:$S$15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'!$T$3:$T$15</c:f>
              <c:numCache>
                <c:formatCode>General</c:formatCode>
                <c:ptCount val="13"/>
                <c:pt idx="0">
                  <c:v>2</c:v>
                </c:pt>
                <c:pt idx="1">
                  <c:v>2</c:v>
                </c:pt>
                <c:pt idx="3">
                  <c:v>1</c:v>
                </c:pt>
                <c:pt idx="4">
                  <c:v>1</c:v>
                </c:pt>
                <c:pt idx="5">
                  <c:v>3</c:v>
                </c:pt>
                <c:pt idx="7">
                  <c:v>1</c:v>
                </c:pt>
                <c:pt idx="8">
                  <c:v>6</c:v>
                </c:pt>
                <c:pt idx="9">
                  <c:v>6</c:v>
                </c:pt>
                <c:pt idx="11">
                  <c:v>18</c:v>
                </c:pt>
                <c:pt idx="12">
                  <c:v>6</c:v>
                </c:pt>
              </c:numCache>
            </c:numRef>
          </c:val>
          <c:extLst>
            <c:ext xmlns:c16="http://schemas.microsoft.com/office/drawing/2014/chart" uri="{C3380CC4-5D6E-409C-BE32-E72D297353CC}">
              <c16:uniqueId val="{00000000-2200-45ED-9485-23971C039B92}"/>
            </c:ext>
          </c:extLst>
        </c:ser>
        <c:ser>
          <c:idx val="1"/>
          <c:order val="1"/>
          <c:tx>
            <c:strRef>
              <c:f>'Calculation '!$U$1:$U$2</c:f>
              <c:strCache>
                <c:ptCount val="1"/>
                <c:pt idx="0">
                  <c:v>القاهرة</c:v>
                </c:pt>
              </c:strCache>
            </c:strRef>
          </c:tx>
          <c:spPr>
            <a:solidFill>
              <a:schemeClr val="accent2"/>
            </a:solidFill>
            <a:ln>
              <a:noFill/>
            </a:ln>
            <a:effectLst/>
          </c:spPr>
          <c:invertIfNegative val="0"/>
          <c:cat>
            <c:strRef>
              <c:f>'Calculation '!$S$3:$S$15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'!$U$3:$U$15</c:f>
              <c:numCache>
                <c:formatCode>General</c:formatCode>
                <c:ptCount val="13"/>
                <c:pt idx="0">
                  <c:v>3</c:v>
                </c:pt>
                <c:pt idx="1">
                  <c:v>3</c:v>
                </c:pt>
                <c:pt idx="2">
                  <c:v>1</c:v>
                </c:pt>
                <c:pt idx="3">
                  <c:v>2</c:v>
                </c:pt>
                <c:pt idx="5">
                  <c:v>2</c:v>
                </c:pt>
                <c:pt idx="8">
                  <c:v>5</c:v>
                </c:pt>
                <c:pt idx="9">
                  <c:v>3</c:v>
                </c:pt>
                <c:pt idx="10">
                  <c:v>1</c:v>
                </c:pt>
                <c:pt idx="11">
                  <c:v>14</c:v>
                </c:pt>
                <c:pt idx="12">
                  <c:v>2</c:v>
                </c:pt>
              </c:numCache>
            </c:numRef>
          </c:val>
          <c:extLst>
            <c:ext xmlns:c16="http://schemas.microsoft.com/office/drawing/2014/chart" uri="{C3380CC4-5D6E-409C-BE32-E72D297353CC}">
              <c16:uniqueId val="{00000004-7ED3-4229-BC18-55ADEEAE2801}"/>
            </c:ext>
          </c:extLst>
        </c:ser>
        <c:ser>
          <c:idx val="2"/>
          <c:order val="2"/>
          <c:tx>
            <c:strRef>
              <c:f>'Calculation '!$V$1:$V$2</c:f>
              <c:strCache>
                <c:ptCount val="1"/>
                <c:pt idx="0">
                  <c:v>طنطا</c:v>
                </c:pt>
              </c:strCache>
            </c:strRef>
          </c:tx>
          <c:spPr>
            <a:solidFill>
              <a:schemeClr val="accent3"/>
            </a:solidFill>
            <a:ln>
              <a:noFill/>
            </a:ln>
            <a:effectLst/>
          </c:spPr>
          <c:invertIfNegative val="0"/>
          <c:cat>
            <c:strRef>
              <c:f>'Calculation '!$S$3:$S$15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'!$V$3:$V$15</c:f>
              <c:numCache>
                <c:formatCode>General</c:formatCode>
                <c:ptCount val="13"/>
                <c:pt idx="0">
                  <c:v>4</c:v>
                </c:pt>
                <c:pt idx="3">
                  <c:v>3</c:v>
                </c:pt>
                <c:pt idx="5">
                  <c:v>1</c:v>
                </c:pt>
                <c:pt idx="6">
                  <c:v>2</c:v>
                </c:pt>
                <c:pt idx="8">
                  <c:v>1</c:v>
                </c:pt>
                <c:pt idx="9">
                  <c:v>1</c:v>
                </c:pt>
                <c:pt idx="11">
                  <c:v>4</c:v>
                </c:pt>
                <c:pt idx="12">
                  <c:v>2</c:v>
                </c:pt>
              </c:numCache>
            </c:numRef>
          </c:val>
          <c:extLst>
            <c:ext xmlns:c16="http://schemas.microsoft.com/office/drawing/2014/chart" uri="{C3380CC4-5D6E-409C-BE32-E72D297353CC}">
              <c16:uniqueId val="{00000005-7ED3-4229-BC18-55ADEEAE2801}"/>
            </c:ext>
          </c:extLst>
        </c:ser>
        <c:dLbls>
          <c:showLegendKey val="0"/>
          <c:showVal val="0"/>
          <c:showCatName val="0"/>
          <c:showSerName val="0"/>
          <c:showPercent val="0"/>
          <c:showBubbleSize val="0"/>
        </c:dLbls>
        <c:gapWidth val="219"/>
        <c:overlap val="-27"/>
        <c:axId val="2124451360"/>
        <c:axId val="2124468160"/>
      </c:barChart>
      <c:catAx>
        <c:axId val="21244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68160"/>
        <c:crosses val="autoZero"/>
        <c:auto val="1"/>
        <c:lblAlgn val="ctr"/>
        <c:lblOffset val="100"/>
        <c:noMultiLvlLbl val="0"/>
      </c:catAx>
      <c:valAx>
        <c:axId val="212446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5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 '!$Y$1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76-4A7E-99AA-A116692652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76-4A7E-99AA-A116692652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76-4A7E-99AA-A11669265260}"/>
              </c:ext>
            </c:extLst>
          </c:dPt>
          <c:cat>
            <c:strRef>
              <c:f>'Calculation '!$X$2:$X$4</c:f>
              <c:strCache>
                <c:ptCount val="3"/>
                <c:pt idx="0">
                  <c:v>الاسكندرية</c:v>
                </c:pt>
                <c:pt idx="1">
                  <c:v>القاهرة</c:v>
                </c:pt>
                <c:pt idx="2">
                  <c:v>طنطا</c:v>
                </c:pt>
              </c:strCache>
            </c:strRef>
          </c:cat>
          <c:val>
            <c:numRef>
              <c:f>'Calculation '!$Y$2:$Y$4</c:f>
              <c:numCache>
                <c:formatCode>General</c:formatCode>
                <c:ptCount val="3"/>
                <c:pt idx="0">
                  <c:v>46</c:v>
                </c:pt>
                <c:pt idx="1">
                  <c:v>36</c:v>
                </c:pt>
                <c:pt idx="2">
                  <c:v>18</c:v>
                </c:pt>
              </c:numCache>
            </c:numRef>
          </c:val>
          <c:extLst>
            <c:ext xmlns:c16="http://schemas.microsoft.com/office/drawing/2014/chart" uri="{C3380CC4-5D6E-409C-BE32-E72D297353CC}">
              <c16:uniqueId val="{00000000-12FC-418E-890F-2078A3A885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'Calculation '!$Y$8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47-4841-B6E8-48E783905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47-4841-B6E8-48E783905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47-4841-B6E8-48E78390518D}"/>
              </c:ext>
            </c:extLst>
          </c:dPt>
          <c:cat>
            <c:strRef>
              <c:f>'Calculation '!$X$9:$X$11</c:f>
              <c:strCache>
                <c:ptCount val="3"/>
                <c:pt idx="0">
                  <c:v>الاسكندرية</c:v>
                </c:pt>
                <c:pt idx="1">
                  <c:v>القاهرة</c:v>
                </c:pt>
                <c:pt idx="2">
                  <c:v>طنطا</c:v>
                </c:pt>
              </c:strCache>
            </c:strRef>
          </c:cat>
          <c:val>
            <c:numRef>
              <c:f>'Calculation '!$Y$9:$Y$11</c:f>
              <c:numCache>
                <c:formatCode>0.00,"k"</c:formatCode>
                <c:ptCount val="3"/>
                <c:pt idx="0">
                  <c:v>614994</c:v>
                </c:pt>
                <c:pt idx="1">
                  <c:v>485640</c:v>
                </c:pt>
                <c:pt idx="2">
                  <c:v>216528</c:v>
                </c:pt>
              </c:numCache>
            </c:numRef>
          </c:val>
          <c:extLst>
            <c:ext xmlns:c16="http://schemas.microsoft.com/office/drawing/2014/chart" uri="{C3380CC4-5D6E-409C-BE32-E72D297353CC}">
              <c16:uniqueId val="{00000000-3537-4908-B684-BDD7C07A2A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'!$AB$1:$AB$2</c:f>
              <c:strCache>
                <c:ptCount val="1"/>
                <c:pt idx="0">
                  <c:v>الاسكندرية</c:v>
                </c:pt>
              </c:strCache>
            </c:strRef>
          </c:tx>
          <c:spPr>
            <a:solidFill>
              <a:schemeClr val="accent1"/>
            </a:solidFill>
            <a:ln>
              <a:noFill/>
            </a:ln>
            <a:effectLst/>
          </c:spPr>
          <c:invertIfNegative val="0"/>
          <c:cat>
            <c:strRef>
              <c:f>'Calculation '!$AA$3:$AA$5</c:f>
              <c:strCache>
                <c:ptCount val="3"/>
                <c:pt idx="0">
                  <c:v>بكالوريوس</c:v>
                </c:pt>
                <c:pt idx="1">
                  <c:v>دبلوم</c:v>
                </c:pt>
                <c:pt idx="2">
                  <c:v>ماجستير</c:v>
                </c:pt>
              </c:strCache>
            </c:strRef>
          </c:cat>
          <c:val>
            <c:numRef>
              <c:f>'Calculation '!$AB$3:$AB$5</c:f>
              <c:numCache>
                <c:formatCode>General</c:formatCode>
                <c:ptCount val="3"/>
                <c:pt idx="0">
                  <c:v>27</c:v>
                </c:pt>
                <c:pt idx="1">
                  <c:v>18</c:v>
                </c:pt>
                <c:pt idx="2">
                  <c:v>1</c:v>
                </c:pt>
              </c:numCache>
            </c:numRef>
          </c:val>
          <c:extLst>
            <c:ext xmlns:c16="http://schemas.microsoft.com/office/drawing/2014/chart" uri="{C3380CC4-5D6E-409C-BE32-E72D297353CC}">
              <c16:uniqueId val="{00000000-4806-4C00-BE22-35EF9D8A1F80}"/>
            </c:ext>
          </c:extLst>
        </c:ser>
        <c:ser>
          <c:idx val="1"/>
          <c:order val="1"/>
          <c:tx>
            <c:strRef>
              <c:f>'Calculation '!$AC$1:$AC$2</c:f>
              <c:strCache>
                <c:ptCount val="1"/>
                <c:pt idx="0">
                  <c:v>القاهرة</c:v>
                </c:pt>
              </c:strCache>
            </c:strRef>
          </c:tx>
          <c:spPr>
            <a:solidFill>
              <a:schemeClr val="accent2"/>
            </a:solidFill>
            <a:ln>
              <a:noFill/>
            </a:ln>
            <a:effectLst/>
          </c:spPr>
          <c:invertIfNegative val="0"/>
          <c:cat>
            <c:strRef>
              <c:f>'Calculation '!$AA$3:$AA$5</c:f>
              <c:strCache>
                <c:ptCount val="3"/>
                <c:pt idx="0">
                  <c:v>بكالوريوس</c:v>
                </c:pt>
                <c:pt idx="1">
                  <c:v>دبلوم</c:v>
                </c:pt>
                <c:pt idx="2">
                  <c:v>ماجستير</c:v>
                </c:pt>
              </c:strCache>
            </c:strRef>
          </c:cat>
          <c:val>
            <c:numRef>
              <c:f>'Calculation '!$AC$3:$AC$5</c:f>
              <c:numCache>
                <c:formatCode>General</c:formatCode>
                <c:ptCount val="3"/>
                <c:pt idx="0">
                  <c:v>21</c:v>
                </c:pt>
                <c:pt idx="1">
                  <c:v>14</c:v>
                </c:pt>
                <c:pt idx="2">
                  <c:v>1</c:v>
                </c:pt>
              </c:numCache>
            </c:numRef>
          </c:val>
          <c:extLst>
            <c:ext xmlns:c16="http://schemas.microsoft.com/office/drawing/2014/chart" uri="{C3380CC4-5D6E-409C-BE32-E72D297353CC}">
              <c16:uniqueId val="{00000004-FC0B-45DC-80E4-A4C6CF4DD30A}"/>
            </c:ext>
          </c:extLst>
        </c:ser>
        <c:ser>
          <c:idx val="2"/>
          <c:order val="2"/>
          <c:tx>
            <c:strRef>
              <c:f>'Calculation '!$AD$1:$AD$2</c:f>
              <c:strCache>
                <c:ptCount val="1"/>
                <c:pt idx="0">
                  <c:v>طنطا</c:v>
                </c:pt>
              </c:strCache>
            </c:strRef>
          </c:tx>
          <c:spPr>
            <a:solidFill>
              <a:schemeClr val="accent3"/>
            </a:solidFill>
            <a:ln>
              <a:noFill/>
            </a:ln>
            <a:effectLst/>
          </c:spPr>
          <c:invertIfNegative val="0"/>
          <c:cat>
            <c:strRef>
              <c:f>'Calculation '!$AA$3:$AA$5</c:f>
              <c:strCache>
                <c:ptCount val="3"/>
                <c:pt idx="0">
                  <c:v>بكالوريوس</c:v>
                </c:pt>
                <c:pt idx="1">
                  <c:v>دبلوم</c:v>
                </c:pt>
                <c:pt idx="2">
                  <c:v>ماجستير</c:v>
                </c:pt>
              </c:strCache>
            </c:strRef>
          </c:cat>
          <c:val>
            <c:numRef>
              <c:f>'Calculation '!$AD$3:$AD$5</c:f>
              <c:numCache>
                <c:formatCode>General</c:formatCode>
                <c:ptCount val="3"/>
                <c:pt idx="0">
                  <c:v>12</c:v>
                </c:pt>
                <c:pt idx="1">
                  <c:v>4</c:v>
                </c:pt>
                <c:pt idx="2">
                  <c:v>2</c:v>
                </c:pt>
              </c:numCache>
            </c:numRef>
          </c:val>
          <c:extLst>
            <c:ext xmlns:c16="http://schemas.microsoft.com/office/drawing/2014/chart" uri="{C3380CC4-5D6E-409C-BE32-E72D297353CC}">
              <c16:uniqueId val="{00000005-FC0B-45DC-80E4-A4C6CF4DD30A}"/>
            </c:ext>
          </c:extLst>
        </c:ser>
        <c:dLbls>
          <c:showLegendKey val="0"/>
          <c:showVal val="0"/>
          <c:showCatName val="0"/>
          <c:showSerName val="0"/>
          <c:showPercent val="0"/>
          <c:showBubbleSize val="0"/>
        </c:dLbls>
        <c:gapWidth val="182"/>
        <c:axId val="2124502240"/>
        <c:axId val="2124496000"/>
      </c:barChart>
      <c:catAx>
        <c:axId val="212450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96000"/>
        <c:crosses val="autoZero"/>
        <c:auto val="1"/>
        <c:lblAlgn val="ctr"/>
        <c:lblOffset val="100"/>
        <c:noMultiLvlLbl val="0"/>
      </c:catAx>
      <c:valAx>
        <c:axId val="212449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0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232121"/>
                </a:solidFill>
              </a:rPr>
              <a:t>PER. per Location</a:t>
            </a:r>
          </a:p>
        </c:rich>
      </c:tx>
      <c:layout>
        <c:manualLayout>
          <c:xMode val="edge"/>
          <c:yMode val="edge"/>
          <c:x val="0.25972178300184268"/>
          <c:y val="4.4263620647991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6664719084383"/>
          <c:y val="0.27170403791354258"/>
          <c:w val="0.89333335280915616"/>
          <c:h val="0.64006765223014894"/>
        </c:manualLayout>
      </c:layout>
      <c:barChart>
        <c:barDir val="bar"/>
        <c:grouping val="clustered"/>
        <c:varyColors val="0"/>
        <c:ser>
          <c:idx val="0"/>
          <c:order val="0"/>
          <c:tx>
            <c:v>Total AVG.</c:v>
          </c:tx>
          <c:spPr>
            <a:solidFill>
              <a:srgbClr val="FD5732"/>
            </a:solidFill>
            <a:ln>
              <a:noFill/>
            </a:ln>
            <a:effectLst/>
          </c:spPr>
          <c:invertIfNegative val="0"/>
          <c:cat>
            <c:strLit>
              <c:ptCount val="3"/>
              <c:pt idx="0">
                <c:v>الاسكندرية</c:v>
              </c:pt>
              <c:pt idx="1">
                <c:v>القاهرة</c:v>
              </c:pt>
              <c:pt idx="2">
                <c:v>طنطا</c:v>
              </c:pt>
            </c:strLit>
          </c:cat>
          <c:val>
            <c:numLit>
              <c:formatCode>General</c:formatCode>
              <c:ptCount val="3"/>
              <c:pt idx="0">
                <c:v>0.73739130434782607</c:v>
              </c:pt>
              <c:pt idx="1">
                <c:v>0.79611111111111121</c:v>
              </c:pt>
              <c:pt idx="2">
                <c:v>0.77444444444444427</c:v>
              </c:pt>
            </c:numLit>
          </c:val>
          <c:extLst>
            <c:ext xmlns:c16="http://schemas.microsoft.com/office/drawing/2014/chart" uri="{C3380CC4-5D6E-409C-BE32-E72D297353CC}">
              <c16:uniqueId val="{00000000-9E0E-4BF5-8D51-1BA98ED5995A}"/>
            </c:ext>
          </c:extLst>
        </c:ser>
        <c:ser>
          <c:idx val="1"/>
          <c:order val="1"/>
          <c:tx>
            <c:v>AVG.Performance</c:v>
          </c:tx>
          <c:spPr>
            <a:solidFill>
              <a:srgbClr val="FFB787"/>
            </a:solidFill>
            <a:ln>
              <a:noFill/>
            </a:ln>
            <a:effectLst/>
          </c:spPr>
          <c:invertIfNegative val="0"/>
          <c:cat>
            <c:strLit>
              <c:ptCount val="3"/>
              <c:pt idx="0">
                <c:v>الاسكندرية</c:v>
              </c:pt>
              <c:pt idx="1">
                <c:v>القاهرة</c:v>
              </c:pt>
              <c:pt idx="2">
                <c:v>طنطا</c:v>
              </c:pt>
            </c:strLit>
          </c:cat>
          <c:val>
            <c:numLit>
              <c:formatCode>General</c:formatCode>
              <c:ptCount val="3"/>
              <c:pt idx="0">
                <c:v>-0.15956521739130439</c:v>
              </c:pt>
              <c:pt idx="1">
                <c:v>-4.7222222222222228E-2</c:v>
              </c:pt>
              <c:pt idx="2">
                <c:v>-8.7777777777777788E-2</c:v>
              </c:pt>
            </c:numLit>
          </c:val>
          <c:extLst>
            <c:ext xmlns:c16="http://schemas.microsoft.com/office/drawing/2014/chart" uri="{C3380CC4-5D6E-409C-BE32-E72D297353CC}">
              <c16:uniqueId val="{00000001-9E0E-4BF5-8D51-1BA98ED5995A}"/>
            </c:ext>
          </c:extLst>
        </c:ser>
        <c:dLbls>
          <c:showLegendKey val="0"/>
          <c:showVal val="0"/>
          <c:showCatName val="0"/>
          <c:showSerName val="0"/>
          <c:showPercent val="0"/>
          <c:showBubbleSize val="0"/>
        </c:dLbls>
        <c:gapWidth val="219"/>
        <c:axId val="2124419200"/>
        <c:axId val="2124420160"/>
      </c:barChart>
      <c:catAx>
        <c:axId val="212441920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780000" spcFirstLastPara="1" vertOverflow="ellipsis" wrap="square" anchor="b" anchorCtr="0"/>
          <a:lstStyle/>
          <a:p>
            <a:pPr>
              <a:defRPr sz="1000" b="1" i="0" u="none" strike="noStrike" kern="1200" baseline="0">
                <a:solidFill>
                  <a:srgbClr val="232121"/>
                </a:solidFill>
                <a:latin typeface="+mn-lt"/>
                <a:ea typeface="+mn-ea"/>
                <a:cs typeface="+mn-cs"/>
              </a:defRPr>
            </a:pPr>
            <a:endParaRPr lang="en-US"/>
          </a:p>
        </c:txPr>
        <c:crossAx val="2124420160"/>
        <c:crosses val="autoZero"/>
        <c:auto val="1"/>
        <c:lblAlgn val="ctr"/>
        <c:lblOffset val="100"/>
        <c:noMultiLvlLbl val="0"/>
        <c:extLst>
          <c:ext xmlns:c15="http://schemas.microsoft.com/office/drawing/2012/chart" uri="{F40574EE-89B7-4290-83BB-5DA773EAF853}">
            <c15:numFmt c:formatCode="General" c:sourceLinked="1"/>
          </c:ext>
        </c:extLst>
      </c:catAx>
      <c:valAx>
        <c:axId val="2124420160"/>
        <c:scaling>
          <c:orientation val="minMax"/>
        </c:scaling>
        <c:delete val="1"/>
        <c:axPos val="b"/>
        <c:numFmt formatCode="General" sourceLinked="0"/>
        <c:majorTickMark val="none"/>
        <c:minorTickMark val="none"/>
        <c:tickLblPos val="nextTo"/>
        <c:crossAx val="21244192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t"/>
      <c:layout>
        <c:manualLayout>
          <c:xMode val="edge"/>
          <c:yMode val="edge"/>
          <c:x val="9.9918639750105717E-2"/>
          <c:y val="0.1248611679089912"/>
          <c:w val="0.85334515003806355"/>
          <c:h val="0.2586712576544532"/>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23212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[Mohamd Ayman final project (Excl).xlsx]PivotChartTable4</c15:name>
        <c15:fmtId val="4"/>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!PivotTable10</c:name>
    <c:fmtId val="9"/>
  </c:pivotSource>
  <c:chart>
    <c:title>
      <c:tx>
        <c:rich>
          <a:bodyPr rot="0" spcFirstLastPara="1" vertOverflow="ellipsis" vert="horz" wrap="square" anchor="ctr" anchorCtr="1"/>
          <a:lstStyle/>
          <a:p>
            <a:pPr>
              <a:defRPr sz="1400" b="1" i="0" u="none" strike="noStrike" kern="1200" spc="0" baseline="0">
                <a:solidFill>
                  <a:srgbClr val="232121"/>
                </a:solidFill>
                <a:latin typeface="+mn-lt"/>
                <a:ea typeface="+mn-ea"/>
                <a:cs typeface="+mn-cs"/>
              </a:defRPr>
            </a:pPr>
            <a:r>
              <a:rPr lang="en-US" b="1">
                <a:solidFill>
                  <a:srgbClr val="232121"/>
                </a:solidFill>
              </a:rPr>
              <a:t>NUM.of Employee</a:t>
            </a:r>
            <a:r>
              <a:rPr lang="en-US" b="1" baseline="0">
                <a:solidFill>
                  <a:srgbClr val="232121"/>
                </a:solidFill>
              </a:rPr>
              <a:t> </a:t>
            </a:r>
            <a:endParaRPr lang="en-US" b="1">
              <a:solidFill>
                <a:srgbClr val="232121"/>
              </a:solidFill>
            </a:endParaRPr>
          </a:p>
        </c:rich>
      </c:tx>
      <c:layout>
        <c:manualLayout>
          <c:xMode val="edge"/>
          <c:yMode val="edge"/>
          <c:x val="0.15234702817198589"/>
          <c:y val="6.57534057445350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3212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rgbClr val="23212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BFBFB"/>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D5732"/>
          </a:solidFill>
          <a:ln w="25400">
            <a:solidFill>
              <a:schemeClr val="lt1"/>
            </a:solidFill>
          </a:ln>
          <a:effectLst/>
          <a:sp3d contourW="25400">
            <a:contourClr>
              <a:schemeClr val="lt1"/>
            </a:contourClr>
          </a:sp3d>
        </c:spPr>
      </c:pivotFmt>
      <c:pivotFmt>
        <c:idx val="10"/>
        <c:spPr>
          <a:solidFill>
            <a:srgbClr val="FFB787"/>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dLbl>
          <c:idx val="0"/>
          <c:layout>
            <c:manualLayout>
              <c:x val="-9.9728980265201925E-2"/>
              <c:y val="0.12420087751745514"/>
            </c:manualLayout>
          </c:layout>
          <c:spPr>
            <a:solidFill>
              <a:srgbClr val="23212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BFBFB"/>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134777376654635E-2"/>
          <c:y val="0.27023679417122043"/>
          <c:w val="0.64300103281313659"/>
          <c:h val="0.64961748633879779"/>
        </c:manualLayout>
      </c:layout>
      <c:pie3DChart>
        <c:varyColors val="1"/>
        <c:ser>
          <c:idx val="0"/>
          <c:order val="0"/>
          <c:tx>
            <c:strRef>
              <c:f>'Calculation '!$Y$1</c:f>
              <c:strCache>
                <c:ptCount val="1"/>
                <c:pt idx="0">
                  <c:v>Total</c:v>
                </c:pt>
              </c:strCache>
            </c:strRef>
          </c:tx>
          <c:dPt>
            <c:idx val="0"/>
            <c:bubble3D val="0"/>
            <c:spPr>
              <a:solidFill>
                <a:srgbClr val="FD5732"/>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27-4D52-8C1E-1A54EF8119A6}"/>
              </c:ext>
            </c:extLst>
          </c:dPt>
          <c:dPt>
            <c:idx val="1"/>
            <c:bubble3D val="0"/>
            <c:spPr>
              <a:solidFill>
                <a:srgbClr val="FFB787"/>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27-4D52-8C1E-1A54EF8119A6}"/>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27-4D52-8C1E-1A54EF8119A6}"/>
              </c:ext>
            </c:extLst>
          </c:dPt>
          <c:dLbls>
            <c:dLbl>
              <c:idx val="2"/>
              <c:layout>
                <c:manualLayout>
                  <c:x val="-9.9728980265201925E-2"/>
                  <c:y val="0.124200877517455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27-4D52-8C1E-1A54EF8119A6}"/>
                </c:ext>
              </c:extLst>
            </c:dLbl>
            <c:spPr>
              <a:solidFill>
                <a:srgbClr val="23212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BFBFB"/>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'!$X$2:$X$4</c:f>
              <c:strCache>
                <c:ptCount val="3"/>
                <c:pt idx="0">
                  <c:v>الاسكندرية</c:v>
                </c:pt>
                <c:pt idx="1">
                  <c:v>القاهرة</c:v>
                </c:pt>
                <c:pt idx="2">
                  <c:v>طنطا</c:v>
                </c:pt>
              </c:strCache>
            </c:strRef>
          </c:cat>
          <c:val>
            <c:numRef>
              <c:f>'Calculation '!$Y$2:$Y$4</c:f>
              <c:numCache>
                <c:formatCode>General</c:formatCode>
                <c:ptCount val="3"/>
                <c:pt idx="0">
                  <c:v>46</c:v>
                </c:pt>
                <c:pt idx="1">
                  <c:v>36</c:v>
                </c:pt>
                <c:pt idx="2">
                  <c:v>18</c:v>
                </c:pt>
              </c:numCache>
            </c:numRef>
          </c:val>
          <c:extLst>
            <c:ext xmlns:c16="http://schemas.microsoft.com/office/drawing/2014/chart" uri="{C3380CC4-5D6E-409C-BE32-E72D297353CC}">
              <c16:uniqueId val="{00000006-1A27-4D52-8C1E-1A54EF8119A6}"/>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!PivotTable4</c:name>
    <c:fmtId val="6"/>
  </c:pivotSource>
  <c:chart>
    <c:title>
      <c:tx>
        <c:rich>
          <a:bodyPr rot="0" spcFirstLastPara="1" vertOverflow="ellipsis" vert="horz" wrap="square" anchor="ctr" anchorCtr="1"/>
          <a:lstStyle/>
          <a:p>
            <a:pPr>
              <a:defRPr lang="en-US" sz="1200" b="0" i="0" u="none" strike="noStrike" kern="1200" spc="0" baseline="0">
                <a:solidFill>
                  <a:srgbClr val="232121"/>
                </a:solidFill>
                <a:latin typeface="+mn-lt"/>
                <a:ea typeface="+mn-ea"/>
                <a:cs typeface="+mn-cs"/>
              </a:defRPr>
            </a:pPr>
            <a:r>
              <a:rPr lang="en-US" sz="1100" b="1">
                <a:solidFill>
                  <a:srgbClr val="232121"/>
                </a:solidFill>
              </a:rPr>
              <a:t>AVG.Age</a:t>
            </a:r>
            <a:r>
              <a:rPr lang="en-US" sz="1100" b="1" baseline="0">
                <a:solidFill>
                  <a:srgbClr val="232121"/>
                </a:solidFill>
              </a:rPr>
              <a:t>&amp;Experience by location</a:t>
            </a:r>
            <a:endParaRPr lang="en-US" sz="1100" b="1">
              <a:solidFill>
                <a:srgbClr val="232121"/>
              </a:solidFill>
            </a:endParaRPr>
          </a:p>
        </c:rich>
      </c:tx>
      <c:layout>
        <c:manualLayout>
          <c:xMode val="edge"/>
          <c:yMode val="edge"/>
          <c:x val="0.12589400758339003"/>
          <c:y val="2.318842696649728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rgbClr val="23212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1255515770609"/>
          <c:y val="0.34406148037108786"/>
          <c:w val="0.67486924186827446"/>
          <c:h val="0.46230237343592234"/>
        </c:manualLayout>
      </c:layout>
      <c:barChart>
        <c:barDir val="bar"/>
        <c:grouping val="stacked"/>
        <c:varyColors val="0"/>
        <c:ser>
          <c:idx val="0"/>
          <c:order val="0"/>
          <c:tx>
            <c:strRef>
              <c:f>'Calculation '!$F$1</c:f>
              <c:strCache>
                <c:ptCount val="1"/>
                <c:pt idx="0">
                  <c:v>AVG.Experience</c:v>
                </c:pt>
              </c:strCache>
            </c:strRef>
          </c:tx>
          <c:spPr>
            <a:solidFill>
              <a:srgbClr val="FD5732"/>
            </a:solidFill>
            <a:ln>
              <a:noFill/>
            </a:ln>
            <a:effectLst/>
          </c:spPr>
          <c:invertIfNegative val="0"/>
          <c:cat>
            <c:strRef>
              <c:f>'Calculation '!$E$2:$E$5</c:f>
              <c:strCache>
                <c:ptCount val="3"/>
                <c:pt idx="0">
                  <c:v>الاسكندرية</c:v>
                </c:pt>
                <c:pt idx="1">
                  <c:v>القاهرة</c:v>
                </c:pt>
                <c:pt idx="2">
                  <c:v>طنطا</c:v>
                </c:pt>
              </c:strCache>
            </c:strRef>
          </c:cat>
          <c:val>
            <c:numRef>
              <c:f>'Calculation '!$F$2:$F$5</c:f>
              <c:numCache>
                <c:formatCode>0</c:formatCode>
                <c:ptCount val="3"/>
                <c:pt idx="0">
                  <c:v>15.565217391304348</c:v>
                </c:pt>
                <c:pt idx="1">
                  <c:v>14.055555555555555</c:v>
                </c:pt>
                <c:pt idx="2">
                  <c:v>14.166666666666666</c:v>
                </c:pt>
              </c:numCache>
            </c:numRef>
          </c:val>
          <c:extLst>
            <c:ext xmlns:c16="http://schemas.microsoft.com/office/drawing/2014/chart" uri="{C3380CC4-5D6E-409C-BE32-E72D297353CC}">
              <c16:uniqueId val="{00000000-8D2E-4CFB-A9F9-9E6708F4ECA0}"/>
            </c:ext>
          </c:extLst>
        </c:ser>
        <c:ser>
          <c:idx val="1"/>
          <c:order val="1"/>
          <c:tx>
            <c:strRef>
              <c:f>'Calculation '!$G$1</c:f>
              <c:strCache>
                <c:ptCount val="1"/>
                <c:pt idx="0">
                  <c:v>AVG.Age</c:v>
                </c:pt>
              </c:strCache>
            </c:strRef>
          </c:tx>
          <c:spPr>
            <a:solidFill>
              <a:srgbClr val="FFB787"/>
            </a:solidFill>
            <a:ln>
              <a:noFill/>
            </a:ln>
            <a:effectLst/>
          </c:spPr>
          <c:invertIfNegative val="0"/>
          <c:cat>
            <c:strRef>
              <c:f>'Calculation '!$E$2:$E$5</c:f>
              <c:strCache>
                <c:ptCount val="3"/>
                <c:pt idx="0">
                  <c:v>الاسكندرية</c:v>
                </c:pt>
                <c:pt idx="1">
                  <c:v>القاهرة</c:v>
                </c:pt>
                <c:pt idx="2">
                  <c:v>طنطا</c:v>
                </c:pt>
              </c:strCache>
            </c:strRef>
          </c:cat>
          <c:val>
            <c:numRef>
              <c:f>'Calculation '!$G$2:$G$5</c:f>
              <c:numCache>
                <c:formatCode>0.00</c:formatCode>
                <c:ptCount val="3"/>
                <c:pt idx="0">
                  <c:v>51.804347826086953</c:v>
                </c:pt>
                <c:pt idx="1">
                  <c:v>51.055555555555557</c:v>
                </c:pt>
                <c:pt idx="2">
                  <c:v>50.166666666666664</c:v>
                </c:pt>
              </c:numCache>
            </c:numRef>
          </c:val>
          <c:extLst>
            <c:ext xmlns:c16="http://schemas.microsoft.com/office/drawing/2014/chart" uri="{C3380CC4-5D6E-409C-BE32-E72D297353CC}">
              <c16:uniqueId val="{00000001-8D2E-4CFB-A9F9-9E6708F4ECA0}"/>
            </c:ext>
          </c:extLst>
        </c:ser>
        <c:dLbls>
          <c:showLegendKey val="0"/>
          <c:showVal val="0"/>
          <c:showCatName val="0"/>
          <c:showSerName val="0"/>
          <c:showPercent val="0"/>
          <c:showBubbleSize val="0"/>
        </c:dLbls>
        <c:gapWidth val="182"/>
        <c:overlap val="100"/>
        <c:axId val="2124442720"/>
        <c:axId val="2124470080"/>
      </c:barChart>
      <c:catAx>
        <c:axId val="2124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780000" spcFirstLastPara="1" vertOverflow="ellipsis" wrap="square" anchor="ctr" anchorCtr="1"/>
          <a:lstStyle/>
          <a:p>
            <a:pPr>
              <a:defRPr lang="en-US" sz="1000" b="1" i="0" u="none" strike="noStrike" kern="1200" baseline="0">
                <a:solidFill>
                  <a:srgbClr val="232121"/>
                </a:solidFill>
                <a:latin typeface="+mn-lt"/>
                <a:ea typeface="+mn-ea"/>
                <a:cs typeface="+mn-cs"/>
              </a:defRPr>
            </a:pPr>
            <a:endParaRPr lang="en-US"/>
          </a:p>
        </c:txPr>
        <c:crossAx val="2124470080"/>
        <c:crosses val="autoZero"/>
        <c:auto val="1"/>
        <c:lblAlgn val="ctr"/>
        <c:lblOffset val="100"/>
        <c:noMultiLvlLbl val="0"/>
      </c:catAx>
      <c:valAx>
        <c:axId val="2124470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24442720"/>
        <c:crosses val="autoZero"/>
        <c:crossBetween val="between"/>
      </c:valAx>
      <c:spPr>
        <a:noFill/>
        <a:ln>
          <a:noFill/>
        </a:ln>
        <a:effectLst/>
      </c:spPr>
    </c:plotArea>
    <c:legend>
      <c:legendPos val="t"/>
      <c:layout>
        <c:manualLayout>
          <c:xMode val="edge"/>
          <c:yMode val="edge"/>
          <c:x val="2.5532005929973386E-2"/>
          <c:y val="0.10889492234311447"/>
          <c:w val="0.91394195840998704"/>
          <c:h val="0.27188900533518934"/>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rgbClr val="23212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32121"/>
                </a:solidFill>
              </a:rPr>
              <a:t>%</a:t>
            </a:r>
            <a:r>
              <a:rPr lang="en-US" b="1" baseline="0">
                <a:solidFill>
                  <a:srgbClr val="232121"/>
                </a:solidFill>
              </a:rPr>
              <a:t> Salary by Location</a:t>
            </a:r>
            <a:endParaRPr lang="en-US" b="1">
              <a:solidFill>
                <a:srgbClr val="232121"/>
              </a:solidFill>
            </a:endParaRPr>
          </a:p>
        </c:rich>
      </c:tx>
      <c:layout>
        <c:manualLayout>
          <c:xMode val="edge"/>
          <c:yMode val="edge"/>
          <c:x val="0.16843523604629754"/>
          <c:y val="3.7296031819682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4B484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BFBF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D5732"/>
          </a:solidFill>
          <a:ln w="19050">
            <a:solidFill>
              <a:schemeClr val="lt1"/>
            </a:solidFill>
          </a:ln>
          <a:effectLst/>
        </c:spPr>
        <c:dLbl>
          <c:idx val="0"/>
          <c:layout>
            <c:manualLayout>
              <c:x val="0.19679133336627025"/>
              <c:y val="7.4595000334782427E-3"/>
            </c:manualLayout>
          </c:layout>
          <c:spPr>
            <a:solidFill>
              <a:srgbClr val="4B484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FBFBF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81226335859"/>
                  <c:h val="0.27127195326660375"/>
                </c:manualLayout>
              </c15:layout>
            </c:ext>
          </c:extLst>
        </c:dLbl>
      </c:pivotFmt>
      <c:pivotFmt>
        <c:idx val="18"/>
        <c:spPr>
          <a:solidFill>
            <a:srgbClr val="FFB787"/>
          </a:solidFill>
          <a:ln w="19050">
            <a:solidFill>
              <a:schemeClr val="lt1"/>
            </a:solidFill>
          </a:ln>
          <a:effectLst/>
        </c:spPr>
        <c:dLbl>
          <c:idx val="0"/>
          <c:layout>
            <c:manualLayout>
              <c:x val="-0.19964338167592646"/>
              <c:y val="1.4918412727872744E-2"/>
            </c:manualLayout>
          </c:layout>
          <c:spPr>
            <a:solidFill>
              <a:srgbClr val="4B484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BFBF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12444811742356"/>
                  <c:h val="0.17843420098978383"/>
                </c:manualLayout>
              </c15:layout>
            </c:ext>
          </c:extLst>
        </c:dLbl>
      </c:pivotFmt>
      <c:pivotFmt>
        <c:idx val="19"/>
        <c:spPr>
          <a:solidFill>
            <a:srgbClr val="FF0000"/>
          </a:solidFill>
          <a:ln w="19050">
            <a:solidFill>
              <a:schemeClr val="lt1"/>
            </a:solidFill>
          </a:ln>
          <a:effectLst/>
        </c:spPr>
        <c:dLbl>
          <c:idx val="0"/>
          <c:layout>
            <c:manualLayout>
              <c:x val="-0.22816408934322044"/>
              <c:y val="-3.7296031819682204E-2"/>
            </c:manualLayout>
          </c:layout>
          <c:spPr>
            <a:solidFill>
              <a:srgbClr val="4B484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BFBF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815025578606492"/>
                  <c:h val="0.17843420098978383"/>
                </c:manualLayout>
              </c15:layout>
            </c:ext>
          </c:extLst>
        </c:dLbl>
      </c:pivotFmt>
    </c:pivotFmts>
    <c:plotArea>
      <c:layout/>
      <c:doughnutChart>
        <c:varyColors val="1"/>
        <c:ser>
          <c:idx val="0"/>
          <c:order val="0"/>
          <c:tx>
            <c:strRef>
              <c:f>'Calculation '!$Y$8</c:f>
              <c:strCache>
                <c:ptCount val="1"/>
                <c:pt idx="0">
                  <c:v>Total</c:v>
                </c:pt>
              </c:strCache>
            </c:strRef>
          </c:tx>
          <c:dPt>
            <c:idx val="0"/>
            <c:bubble3D val="0"/>
            <c:spPr>
              <a:solidFill>
                <a:srgbClr val="FD5732"/>
              </a:solidFill>
              <a:ln w="19050">
                <a:solidFill>
                  <a:schemeClr val="lt1"/>
                </a:solidFill>
              </a:ln>
              <a:effectLst/>
            </c:spPr>
            <c:extLst>
              <c:ext xmlns:c16="http://schemas.microsoft.com/office/drawing/2014/chart" uri="{C3380CC4-5D6E-409C-BE32-E72D297353CC}">
                <c16:uniqueId val="{00000001-188E-4399-8AAB-A86E12094AD5}"/>
              </c:ext>
            </c:extLst>
          </c:dPt>
          <c:dPt>
            <c:idx val="1"/>
            <c:bubble3D val="0"/>
            <c:spPr>
              <a:solidFill>
                <a:srgbClr val="FFB787"/>
              </a:solidFill>
              <a:ln w="19050">
                <a:solidFill>
                  <a:schemeClr val="lt1"/>
                </a:solidFill>
              </a:ln>
              <a:effectLst/>
            </c:spPr>
            <c:extLst>
              <c:ext xmlns:c16="http://schemas.microsoft.com/office/drawing/2014/chart" uri="{C3380CC4-5D6E-409C-BE32-E72D297353CC}">
                <c16:uniqueId val="{00000003-188E-4399-8AAB-A86E12094AD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88E-4399-8AAB-A86E12094AD5}"/>
              </c:ext>
            </c:extLst>
          </c:dPt>
          <c:dLbls>
            <c:dLbl>
              <c:idx val="0"/>
              <c:layout>
                <c:manualLayout>
                  <c:x val="0.19679133336627025"/>
                  <c:y val="7.4595000334782427E-3"/>
                </c:manualLayout>
              </c:layout>
              <c:spPr>
                <a:solidFill>
                  <a:srgbClr val="4B484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rgbClr val="FBFBF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81226335859"/>
                      <c:h val="0.27127195326660375"/>
                    </c:manualLayout>
                  </c15:layout>
                </c:ext>
                <c:ext xmlns:c16="http://schemas.microsoft.com/office/drawing/2014/chart" uri="{C3380CC4-5D6E-409C-BE32-E72D297353CC}">
                  <c16:uniqueId val="{00000001-188E-4399-8AAB-A86E12094AD5}"/>
                </c:ext>
              </c:extLst>
            </c:dLbl>
            <c:dLbl>
              <c:idx val="1"/>
              <c:layout>
                <c:manualLayout>
                  <c:x val="-0.19964338167592646"/>
                  <c:y val="1.4918412727872744E-2"/>
                </c:manualLayout>
              </c:layout>
              <c:showLegendKey val="0"/>
              <c:showVal val="0"/>
              <c:showCatName val="1"/>
              <c:showSerName val="0"/>
              <c:showPercent val="1"/>
              <c:showBubbleSize val="0"/>
              <c:extLst>
                <c:ext xmlns:c15="http://schemas.microsoft.com/office/drawing/2012/chart" uri="{CE6537A1-D6FC-4f65-9D91-7224C49458BB}">
                  <c15:layout>
                    <c:manualLayout>
                      <c:w val="0.23612444811742356"/>
                      <c:h val="0.17843420098978383"/>
                    </c:manualLayout>
                  </c15:layout>
                </c:ext>
                <c:ext xmlns:c16="http://schemas.microsoft.com/office/drawing/2014/chart" uri="{C3380CC4-5D6E-409C-BE32-E72D297353CC}">
                  <c16:uniqueId val="{00000003-188E-4399-8AAB-A86E12094AD5}"/>
                </c:ext>
              </c:extLst>
            </c:dLbl>
            <c:dLbl>
              <c:idx val="2"/>
              <c:layout>
                <c:manualLayout>
                  <c:x val="-0.22816408934322044"/>
                  <c:y val="-3.7296031819682204E-2"/>
                </c:manualLayout>
              </c:layout>
              <c:showLegendKey val="0"/>
              <c:showVal val="0"/>
              <c:showCatName val="1"/>
              <c:showSerName val="0"/>
              <c:showPercent val="1"/>
              <c:showBubbleSize val="0"/>
              <c:extLst>
                <c:ext xmlns:c15="http://schemas.microsoft.com/office/drawing/2012/chart" uri="{CE6537A1-D6FC-4f65-9D91-7224C49458BB}">
                  <c15:layout>
                    <c:manualLayout>
                      <c:w val="0.21815025578606492"/>
                      <c:h val="0.17843420098978383"/>
                    </c:manualLayout>
                  </c15:layout>
                </c:ext>
                <c:ext xmlns:c16="http://schemas.microsoft.com/office/drawing/2014/chart" uri="{C3380CC4-5D6E-409C-BE32-E72D297353CC}">
                  <c16:uniqueId val="{00000005-188E-4399-8AAB-A86E12094AD5}"/>
                </c:ext>
              </c:extLst>
            </c:dLbl>
            <c:spPr>
              <a:solidFill>
                <a:srgbClr val="4B484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BFBFB"/>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'!$X$9:$X$11</c:f>
              <c:strCache>
                <c:ptCount val="3"/>
                <c:pt idx="0">
                  <c:v>الاسكندرية</c:v>
                </c:pt>
                <c:pt idx="1">
                  <c:v>القاهرة</c:v>
                </c:pt>
                <c:pt idx="2">
                  <c:v>طنطا</c:v>
                </c:pt>
              </c:strCache>
            </c:strRef>
          </c:cat>
          <c:val>
            <c:numRef>
              <c:f>'Calculation '!$Y$9:$Y$11</c:f>
              <c:numCache>
                <c:formatCode>0.00,"k"</c:formatCode>
                <c:ptCount val="3"/>
                <c:pt idx="0">
                  <c:v>614994</c:v>
                </c:pt>
                <c:pt idx="1">
                  <c:v>485640</c:v>
                </c:pt>
                <c:pt idx="2">
                  <c:v>216528</c:v>
                </c:pt>
              </c:numCache>
            </c:numRef>
          </c:val>
          <c:extLst>
            <c:ext xmlns:c16="http://schemas.microsoft.com/office/drawing/2014/chart" uri="{C3380CC4-5D6E-409C-BE32-E72D297353CC}">
              <c16:uniqueId val="{00000006-188E-4399-8AAB-A86E12094AD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32121"/>
                </a:solidFill>
              </a:rPr>
              <a:t>Salary by Location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'!$J$1</c:f>
              <c:strCache>
                <c:ptCount val="1"/>
                <c:pt idx="0">
                  <c:v>MAX Salary</c:v>
                </c:pt>
              </c:strCache>
            </c:strRef>
          </c:tx>
          <c:spPr>
            <a:solidFill>
              <a:srgbClr val="FD57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'!$I$2:$I$5</c:f>
              <c:strCache>
                <c:ptCount val="3"/>
                <c:pt idx="0">
                  <c:v>الاسكندرية</c:v>
                </c:pt>
                <c:pt idx="1">
                  <c:v>القاهرة</c:v>
                </c:pt>
                <c:pt idx="2">
                  <c:v>طنطا</c:v>
                </c:pt>
              </c:strCache>
            </c:strRef>
          </c:cat>
          <c:val>
            <c:numRef>
              <c:f>'Calculation '!$J$2:$J$5</c:f>
              <c:numCache>
                <c:formatCode>0.0,"k"</c:formatCode>
                <c:ptCount val="3"/>
                <c:pt idx="0">
                  <c:v>24472</c:v>
                </c:pt>
                <c:pt idx="1">
                  <c:v>35000</c:v>
                </c:pt>
                <c:pt idx="2">
                  <c:v>25000</c:v>
                </c:pt>
              </c:numCache>
            </c:numRef>
          </c:val>
          <c:extLst>
            <c:ext xmlns:c16="http://schemas.microsoft.com/office/drawing/2014/chart" uri="{C3380CC4-5D6E-409C-BE32-E72D297353CC}">
              <c16:uniqueId val="{00000000-436B-4FD6-87E9-9B74B3AFF14F}"/>
            </c:ext>
          </c:extLst>
        </c:ser>
        <c:ser>
          <c:idx val="1"/>
          <c:order val="1"/>
          <c:tx>
            <c:strRef>
              <c:f>'Calculation '!$K$1</c:f>
              <c:strCache>
                <c:ptCount val="1"/>
                <c:pt idx="0">
                  <c:v>AVG.Salary</c:v>
                </c:pt>
              </c:strCache>
            </c:strRef>
          </c:tx>
          <c:spPr>
            <a:solidFill>
              <a:srgbClr val="FFB7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'!$I$2:$I$5</c:f>
              <c:strCache>
                <c:ptCount val="3"/>
                <c:pt idx="0">
                  <c:v>الاسكندرية</c:v>
                </c:pt>
                <c:pt idx="1">
                  <c:v>القاهرة</c:v>
                </c:pt>
                <c:pt idx="2">
                  <c:v>طنطا</c:v>
                </c:pt>
              </c:strCache>
            </c:strRef>
          </c:cat>
          <c:val>
            <c:numRef>
              <c:f>'Calculation '!$K$2:$K$5</c:f>
              <c:numCache>
                <c:formatCode>0.0,"k"</c:formatCode>
                <c:ptCount val="3"/>
                <c:pt idx="0">
                  <c:v>13369.434782608696</c:v>
                </c:pt>
                <c:pt idx="1">
                  <c:v>13490</c:v>
                </c:pt>
                <c:pt idx="2">
                  <c:v>12029.333333333334</c:v>
                </c:pt>
              </c:numCache>
            </c:numRef>
          </c:val>
          <c:extLst>
            <c:ext xmlns:c16="http://schemas.microsoft.com/office/drawing/2014/chart" uri="{C3380CC4-5D6E-409C-BE32-E72D297353CC}">
              <c16:uniqueId val="{00000001-436B-4FD6-87E9-9B74B3AFF14F}"/>
            </c:ext>
          </c:extLst>
        </c:ser>
        <c:ser>
          <c:idx val="2"/>
          <c:order val="2"/>
          <c:tx>
            <c:strRef>
              <c:f>'Calculation '!$L$1</c:f>
              <c:strCache>
                <c:ptCount val="1"/>
                <c:pt idx="0">
                  <c:v>Min of Salary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'!$I$2:$I$5</c:f>
              <c:strCache>
                <c:ptCount val="3"/>
                <c:pt idx="0">
                  <c:v>الاسكندرية</c:v>
                </c:pt>
                <c:pt idx="1">
                  <c:v>القاهرة</c:v>
                </c:pt>
                <c:pt idx="2">
                  <c:v>طنطا</c:v>
                </c:pt>
              </c:strCache>
            </c:strRef>
          </c:cat>
          <c:val>
            <c:numRef>
              <c:f>'Calculation '!$L$2:$L$5</c:f>
              <c:numCache>
                <c:formatCode>0.0,"k"</c:formatCode>
                <c:ptCount val="3"/>
                <c:pt idx="0">
                  <c:v>1428</c:v>
                </c:pt>
                <c:pt idx="1">
                  <c:v>1673</c:v>
                </c:pt>
                <c:pt idx="2">
                  <c:v>1952</c:v>
                </c:pt>
              </c:numCache>
            </c:numRef>
          </c:val>
          <c:extLst>
            <c:ext xmlns:c16="http://schemas.microsoft.com/office/drawing/2014/chart" uri="{C3380CC4-5D6E-409C-BE32-E72D297353CC}">
              <c16:uniqueId val="{00000002-436B-4FD6-87E9-9B74B3AFF14F}"/>
            </c:ext>
          </c:extLst>
        </c:ser>
        <c:dLbls>
          <c:dLblPos val="outEnd"/>
          <c:showLegendKey val="0"/>
          <c:showVal val="1"/>
          <c:showCatName val="0"/>
          <c:showSerName val="0"/>
          <c:showPercent val="0"/>
          <c:showBubbleSize val="0"/>
        </c:dLbls>
        <c:gapWidth val="219"/>
        <c:overlap val="-27"/>
        <c:axId val="2124468640"/>
        <c:axId val="2124464320"/>
      </c:barChart>
      <c:catAx>
        <c:axId val="21244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24464320"/>
        <c:crosses val="autoZero"/>
        <c:auto val="1"/>
        <c:lblAlgn val="ctr"/>
        <c:lblOffset val="100"/>
        <c:noMultiLvlLbl val="0"/>
      </c:catAx>
      <c:valAx>
        <c:axId val="2124464320"/>
        <c:scaling>
          <c:orientation val="minMax"/>
        </c:scaling>
        <c:delete val="1"/>
        <c:axPos val="l"/>
        <c:numFmt formatCode="0.0,&quot;k&quot;" sourceLinked="1"/>
        <c:majorTickMark val="none"/>
        <c:minorTickMark val="none"/>
        <c:tickLblPos val="nextTo"/>
        <c:crossAx val="2124468640"/>
        <c:crosses val="autoZero"/>
        <c:crossBetween val="between"/>
      </c:valAx>
      <c:spPr>
        <a:noFill/>
        <a:ln>
          <a:noFill/>
        </a:ln>
        <a:effectLst/>
      </c:spPr>
    </c:plotArea>
    <c:legend>
      <c:legendPos val="t"/>
      <c:layout>
        <c:manualLayout>
          <c:xMode val="edge"/>
          <c:yMode val="edge"/>
          <c:x val="6.7020166017439566E-3"/>
          <c:y val="9.0758202040059882E-2"/>
          <c:w val="0.97586936177544736"/>
          <c:h val="0.19764256031665103"/>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23212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232121"/>
                </a:solidFill>
              </a:rPr>
              <a:t>NUM of Employee by</a:t>
            </a:r>
            <a:r>
              <a:rPr lang="en-US" sz="1600" b="1" baseline="0">
                <a:solidFill>
                  <a:srgbClr val="232121"/>
                </a:solidFill>
              </a:rPr>
              <a:t> Dep.</a:t>
            </a:r>
            <a:endParaRPr lang="en-US" sz="1600" b="1">
              <a:solidFill>
                <a:srgbClr val="23212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'!$AB$1:$AB$2</c:f>
              <c:strCache>
                <c:ptCount val="1"/>
                <c:pt idx="0">
                  <c:v>الاسكندرية</c:v>
                </c:pt>
              </c:strCache>
            </c:strRef>
          </c:tx>
          <c:spPr>
            <a:solidFill>
              <a:srgbClr val="FFB787"/>
            </a:solidFill>
            <a:ln>
              <a:noFill/>
            </a:ln>
            <a:effectLst/>
          </c:spPr>
          <c:invertIfNegative val="0"/>
          <c:cat>
            <c:strRef>
              <c:f>'Calculation '!$AA$3:$AA$5</c:f>
              <c:strCache>
                <c:ptCount val="3"/>
                <c:pt idx="0">
                  <c:v>بكالوريوس</c:v>
                </c:pt>
                <c:pt idx="1">
                  <c:v>دبلوم</c:v>
                </c:pt>
                <c:pt idx="2">
                  <c:v>ماجستير</c:v>
                </c:pt>
              </c:strCache>
            </c:strRef>
          </c:cat>
          <c:val>
            <c:numRef>
              <c:f>'Calculation '!$AB$3:$AB$5</c:f>
              <c:numCache>
                <c:formatCode>General</c:formatCode>
                <c:ptCount val="3"/>
                <c:pt idx="0">
                  <c:v>27</c:v>
                </c:pt>
                <c:pt idx="1">
                  <c:v>18</c:v>
                </c:pt>
                <c:pt idx="2">
                  <c:v>1</c:v>
                </c:pt>
              </c:numCache>
            </c:numRef>
          </c:val>
          <c:extLst>
            <c:ext xmlns:c16="http://schemas.microsoft.com/office/drawing/2014/chart" uri="{C3380CC4-5D6E-409C-BE32-E72D297353CC}">
              <c16:uniqueId val="{00000000-FF8A-457E-BED8-634E19851872}"/>
            </c:ext>
          </c:extLst>
        </c:ser>
        <c:ser>
          <c:idx val="1"/>
          <c:order val="1"/>
          <c:tx>
            <c:strRef>
              <c:f>'Calculation '!$AC$1:$AC$2</c:f>
              <c:strCache>
                <c:ptCount val="1"/>
                <c:pt idx="0">
                  <c:v>القاهرة</c:v>
                </c:pt>
              </c:strCache>
            </c:strRef>
          </c:tx>
          <c:spPr>
            <a:solidFill>
              <a:srgbClr val="FF0000"/>
            </a:solidFill>
            <a:ln>
              <a:noFill/>
            </a:ln>
            <a:effectLst/>
          </c:spPr>
          <c:invertIfNegative val="0"/>
          <c:cat>
            <c:strRef>
              <c:f>'Calculation '!$AA$3:$AA$5</c:f>
              <c:strCache>
                <c:ptCount val="3"/>
                <c:pt idx="0">
                  <c:v>بكالوريوس</c:v>
                </c:pt>
                <c:pt idx="1">
                  <c:v>دبلوم</c:v>
                </c:pt>
                <c:pt idx="2">
                  <c:v>ماجستير</c:v>
                </c:pt>
              </c:strCache>
            </c:strRef>
          </c:cat>
          <c:val>
            <c:numRef>
              <c:f>'Calculation '!$AC$3:$AC$5</c:f>
              <c:numCache>
                <c:formatCode>General</c:formatCode>
                <c:ptCount val="3"/>
                <c:pt idx="0">
                  <c:v>21</c:v>
                </c:pt>
                <c:pt idx="1">
                  <c:v>14</c:v>
                </c:pt>
                <c:pt idx="2">
                  <c:v>1</c:v>
                </c:pt>
              </c:numCache>
            </c:numRef>
          </c:val>
          <c:extLst>
            <c:ext xmlns:c16="http://schemas.microsoft.com/office/drawing/2014/chart" uri="{C3380CC4-5D6E-409C-BE32-E72D297353CC}">
              <c16:uniqueId val="{00000005-722C-483F-9290-4F71AE2C9F2F}"/>
            </c:ext>
          </c:extLst>
        </c:ser>
        <c:ser>
          <c:idx val="2"/>
          <c:order val="2"/>
          <c:tx>
            <c:strRef>
              <c:f>'Calculation '!$AD$1:$AD$2</c:f>
              <c:strCache>
                <c:ptCount val="1"/>
                <c:pt idx="0">
                  <c:v>طنطا</c:v>
                </c:pt>
              </c:strCache>
            </c:strRef>
          </c:tx>
          <c:spPr>
            <a:solidFill>
              <a:srgbClr val="FD5732"/>
            </a:solidFill>
            <a:ln>
              <a:noFill/>
            </a:ln>
            <a:effectLst/>
          </c:spPr>
          <c:invertIfNegative val="0"/>
          <c:cat>
            <c:strRef>
              <c:f>'Calculation '!$AA$3:$AA$5</c:f>
              <c:strCache>
                <c:ptCount val="3"/>
                <c:pt idx="0">
                  <c:v>بكالوريوس</c:v>
                </c:pt>
                <c:pt idx="1">
                  <c:v>دبلوم</c:v>
                </c:pt>
                <c:pt idx="2">
                  <c:v>ماجستير</c:v>
                </c:pt>
              </c:strCache>
            </c:strRef>
          </c:cat>
          <c:val>
            <c:numRef>
              <c:f>'Calculation '!$AD$3:$AD$5</c:f>
              <c:numCache>
                <c:formatCode>General</c:formatCode>
                <c:ptCount val="3"/>
                <c:pt idx="0">
                  <c:v>12</c:v>
                </c:pt>
                <c:pt idx="1">
                  <c:v>4</c:v>
                </c:pt>
                <c:pt idx="2">
                  <c:v>2</c:v>
                </c:pt>
              </c:numCache>
            </c:numRef>
          </c:val>
          <c:extLst>
            <c:ext xmlns:c16="http://schemas.microsoft.com/office/drawing/2014/chart" uri="{C3380CC4-5D6E-409C-BE32-E72D297353CC}">
              <c16:uniqueId val="{00000006-722C-483F-9290-4F71AE2C9F2F}"/>
            </c:ext>
          </c:extLst>
        </c:ser>
        <c:dLbls>
          <c:showLegendKey val="0"/>
          <c:showVal val="0"/>
          <c:showCatName val="0"/>
          <c:showSerName val="0"/>
          <c:showPercent val="0"/>
          <c:showBubbleSize val="0"/>
        </c:dLbls>
        <c:gapWidth val="182"/>
        <c:axId val="2124502240"/>
        <c:axId val="2124496000"/>
      </c:barChart>
      <c:catAx>
        <c:axId val="212450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200000" spcFirstLastPara="1" vertOverflow="ellipsis" wrap="square" anchor="ctr" anchorCtr="1"/>
          <a:lstStyle/>
          <a:p>
            <a:pPr>
              <a:defRPr sz="1000" b="1" i="0" u="none" strike="noStrike" kern="1200" baseline="0">
                <a:solidFill>
                  <a:srgbClr val="232121"/>
                </a:solidFill>
                <a:latin typeface="+mn-lt"/>
                <a:ea typeface="+mn-ea"/>
                <a:cs typeface="+mn-cs"/>
              </a:defRPr>
            </a:pPr>
            <a:endParaRPr lang="en-US"/>
          </a:p>
        </c:txPr>
        <c:crossAx val="2124496000"/>
        <c:crosses val="autoZero"/>
        <c:auto val="1"/>
        <c:lblAlgn val="ctr"/>
        <c:lblOffset val="100"/>
        <c:noMultiLvlLbl val="0"/>
      </c:catAx>
      <c:valAx>
        <c:axId val="21244960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450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!PivotTable7</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232121"/>
                </a:solidFill>
              </a:rPr>
              <a:t>Salary by Dep.</a:t>
            </a:r>
          </a:p>
        </c:rich>
      </c:tx>
      <c:layout>
        <c:manualLayout>
          <c:xMode val="edge"/>
          <c:yMode val="edge"/>
          <c:x val="0.32308221587869018"/>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81050295286111"/>
          <c:y val="7.007049042293334E-2"/>
          <c:w val="0.55425620354226379"/>
          <c:h val="0.83962317647372553"/>
        </c:manualLayout>
      </c:layout>
      <c:barChart>
        <c:barDir val="bar"/>
        <c:grouping val="clustered"/>
        <c:varyColors val="0"/>
        <c:ser>
          <c:idx val="0"/>
          <c:order val="0"/>
          <c:tx>
            <c:strRef>
              <c:f>'Calculation '!$O$1:$O$2</c:f>
              <c:strCache>
                <c:ptCount val="1"/>
                <c:pt idx="0">
                  <c:v>الاسكندرية</c:v>
                </c:pt>
              </c:strCache>
            </c:strRef>
          </c:tx>
          <c:spPr>
            <a:solidFill>
              <a:srgbClr val="FD5732"/>
            </a:solidFill>
            <a:ln>
              <a:noFill/>
            </a:ln>
            <a:effectLst/>
          </c:spPr>
          <c:invertIfNegative val="0"/>
          <c:cat>
            <c:strRef>
              <c:f>'Calculation '!$N$3:$N$15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'!$O$3:$O$15</c:f>
              <c:numCache>
                <c:formatCode>0.00,"K"</c:formatCode>
                <c:ptCount val="13"/>
                <c:pt idx="0">
                  <c:v>40334</c:v>
                </c:pt>
                <c:pt idx="1">
                  <c:v>42080</c:v>
                </c:pt>
                <c:pt idx="3">
                  <c:v>11445</c:v>
                </c:pt>
                <c:pt idx="4">
                  <c:v>20500</c:v>
                </c:pt>
                <c:pt idx="5">
                  <c:v>37121</c:v>
                </c:pt>
                <c:pt idx="7">
                  <c:v>21575</c:v>
                </c:pt>
                <c:pt idx="8">
                  <c:v>105488</c:v>
                </c:pt>
                <c:pt idx="9">
                  <c:v>66243</c:v>
                </c:pt>
                <c:pt idx="11">
                  <c:v>198100</c:v>
                </c:pt>
                <c:pt idx="12">
                  <c:v>72108</c:v>
                </c:pt>
              </c:numCache>
            </c:numRef>
          </c:val>
          <c:extLst>
            <c:ext xmlns:c16="http://schemas.microsoft.com/office/drawing/2014/chart" uri="{C3380CC4-5D6E-409C-BE32-E72D297353CC}">
              <c16:uniqueId val="{00000000-9312-4839-A9A4-3EAEE2C1BB10}"/>
            </c:ext>
          </c:extLst>
        </c:ser>
        <c:ser>
          <c:idx val="1"/>
          <c:order val="1"/>
          <c:tx>
            <c:strRef>
              <c:f>'Calculation '!$P$1:$P$2</c:f>
              <c:strCache>
                <c:ptCount val="1"/>
                <c:pt idx="0">
                  <c:v>القاهرة</c:v>
                </c:pt>
              </c:strCache>
            </c:strRef>
          </c:tx>
          <c:spPr>
            <a:solidFill>
              <a:srgbClr val="FFB787"/>
            </a:solidFill>
            <a:ln>
              <a:noFill/>
            </a:ln>
            <a:effectLst/>
          </c:spPr>
          <c:invertIfNegative val="0"/>
          <c:cat>
            <c:strRef>
              <c:f>'Calculation '!$N$3:$N$15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'!$P$3:$P$15</c:f>
              <c:numCache>
                <c:formatCode>0.00,"K"</c:formatCode>
                <c:ptCount val="13"/>
                <c:pt idx="0">
                  <c:v>32020</c:v>
                </c:pt>
                <c:pt idx="1">
                  <c:v>25638</c:v>
                </c:pt>
                <c:pt idx="2">
                  <c:v>26520</c:v>
                </c:pt>
                <c:pt idx="3">
                  <c:v>32267</c:v>
                </c:pt>
                <c:pt idx="5">
                  <c:v>6178</c:v>
                </c:pt>
                <c:pt idx="8">
                  <c:v>54571</c:v>
                </c:pt>
                <c:pt idx="9">
                  <c:v>21765</c:v>
                </c:pt>
                <c:pt idx="10">
                  <c:v>35000</c:v>
                </c:pt>
                <c:pt idx="11">
                  <c:v>240525</c:v>
                </c:pt>
                <c:pt idx="12">
                  <c:v>11156</c:v>
                </c:pt>
              </c:numCache>
            </c:numRef>
          </c:val>
          <c:extLst>
            <c:ext xmlns:c16="http://schemas.microsoft.com/office/drawing/2014/chart" uri="{C3380CC4-5D6E-409C-BE32-E72D297353CC}">
              <c16:uniqueId val="{00000005-6838-467A-A586-4400CC537C0E}"/>
            </c:ext>
          </c:extLst>
        </c:ser>
        <c:ser>
          <c:idx val="2"/>
          <c:order val="2"/>
          <c:tx>
            <c:strRef>
              <c:f>'Calculation '!$Q$1:$Q$2</c:f>
              <c:strCache>
                <c:ptCount val="1"/>
                <c:pt idx="0">
                  <c:v>طنطا</c:v>
                </c:pt>
              </c:strCache>
            </c:strRef>
          </c:tx>
          <c:spPr>
            <a:solidFill>
              <a:srgbClr val="FF0000"/>
            </a:solidFill>
            <a:ln>
              <a:noFill/>
            </a:ln>
            <a:effectLst/>
          </c:spPr>
          <c:invertIfNegative val="0"/>
          <c:cat>
            <c:strRef>
              <c:f>'Calculation '!$N$3:$N$15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'!$Q$3:$Q$15</c:f>
              <c:numCache>
                <c:formatCode>0.00,"K"</c:formatCode>
                <c:ptCount val="13"/>
                <c:pt idx="0">
                  <c:v>40893</c:v>
                </c:pt>
                <c:pt idx="3">
                  <c:v>29348</c:v>
                </c:pt>
                <c:pt idx="5">
                  <c:v>20121</c:v>
                </c:pt>
                <c:pt idx="6">
                  <c:v>50000</c:v>
                </c:pt>
                <c:pt idx="8">
                  <c:v>15730</c:v>
                </c:pt>
                <c:pt idx="9">
                  <c:v>19987</c:v>
                </c:pt>
                <c:pt idx="11">
                  <c:v>36545</c:v>
                </c:pt>
                <c:pt idx="12">
                  <c:v>3904</c:v>
                </c:pt>
              </c:numCache>
            </c:numRef>
          </c:val>
          <c:extLst>
            <c:ext xmlns:c16="http://schemas.microsoft.com/office/drawing/2014/chart" uri="{C3380CC4-5D6E-409C-BE32-E72D297353CC}">
              <c16:uniqueId val="{00000006-6838-467A-A586-4400CC537C0E}"/>
            </c:ext>
          </c:extLst>
        </c:ser>
        <c:dLbls>
          <c:showLegendKey val="0"/>
          <c:showVal val="0"/>
          <c:showCatName val="0"/>
          <c:showSerName val="0"/>
          <c:showPercent val="0"/>
          <c:showBubbleSize val="0"/>
        </c:dLbls>
        <c:gapWidth val="219"/>
        <c:axId val="2124470560"/>
        <c:axId val="2124442240"/>
      </c:barChart>
      <c:catAx>
        <c:axId val="212447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32121"/>
                </a:solidFill>
                <a:latin typeface="+mn-lt"/>
                <a:ea typeface="+mn-ea"/>
                <a:cs typeface="+mn-cs"/>
              </a:defRPr>
            </a:pPr>
            <a:endParaRPr lang="en-US"/>
          </a:p>
        </c:txPr>
        <c:crossAx val="2124442240"/>
        <c:crosses val="autoZero"/>
        <c:auto val="1"/>
        <c:lblAlgn val="ctr"/>
        <c:lblOffset val="100"/>
        <c:noMultiLvlLbl val="0"/>
      </c:catAx>
      <c:valAx>
        <c:axId val="2124442240"/>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7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232121"/>
                </a:solidFill>
              </a:rPr>
              <a:t>NUM.of</a:t>
            </a:r>
            <a:r>
              <a:rPr lang="en-US" sz="1600" b="1" baseline="0">
                <a:solidFill>
                  <a:srgbClr val="232121"/>
                </a:solidFill>
              </a:rPr>
              <a:t> employee by Dep. </a:t>
            </a:r>
            <a:endParaRPr lang="en-US" sz="1600" b="1">
              <a:solidFill>
                <a:srgbClr val="232121"/>
              </a:solidFill>
            </a:endParaRPr>
          </a:p>
        </c:rich>
      </c:tx>
      <c:layout>
        <c:manualLayout>
          <c:xMode val="edge"/>
          <c:yMode val="edge"/>
          <c:x val="9.1670249923020725E-2"/>
          <c:y val="4.2322541085356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D57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B7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66403402142392E-2"/>
          <c:y val="4.2961527707121312E-2"/>
          <c:w val="0.77821563854539222"/>
          <c:h val="0.64936330124707087"/>
        </c:manualLayout>
      </c:layout>
      <c:barChart>
        <c:barDir val="col"/>
        <c:grouping val="clustered"/>
        <c:varyColors val="0"/>
        <c:ser>
          <c:idx val="0"/>
          <c:order val="0"/>
          <c:tx>
            <c:strRef>
              <c:f>'Calculation '!$T$1:$T$2</c:f>
              <c:strCache>
                <c:ptCount val="1"/>
                <c:pt idx="0">
                  <c:v>الاسكندرية</c:v>
                </c:pt>
              </c:strCache>
            </c:strRef>
          </c:tx>
          <c:spPr>
            <a:solidFill>
              <a:srgbClr val="FD5732"/>
            </a:solidFill>
            <a:ln>
              <a:noFill/>
            </a:ln>
            <a:effectLst/>
          </c:spPr>
          <c:invertIfNegative val="0"/>
          <c:cat>
            <c:strRef>
              <c:f>'Calculation '!$S$3:$S$15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'!$T$3:$T$15</c:f>
              <c:numCache>
                <c:formatCode>General</c:formatCode>
                <c:ptCount val="13"/>
                <c:pt idx="0">
                  <c:v>2</c:v>
                </c:pt>
                <c:pt idx="1">
                  <c:v>2</c:v>
                </c:pt>
                <c:pt idx="3">
                  <c:v>1</c:v>
                </c:pt>
                <c:pt idx="4">
                  <c:v>1</c:v>
                </c:pt>
                <c:pt idx="5">
                  <c:v>3</c:v>
                </c:pt>
                <c:pt idx="7">
                  <c:v>1</c:v>
                </c:pt>
                <c:pt idx="8">
                  <c:v>6</c:v>
                </c:pt>
                <c:pt idx="9">
                  <c:v>6</c:v>
                </c:pt>
                <c:pt idx="11">
                  <c:v>18</c:v>
                </c:pt>
                <c:pt idx="12">
                  <c:v>6</c:v>
                </c:pt>
              </c:numCache>
            </c:numRef>
          </c:val>
          <c:extLst>
            <c:ext xmlns:c16="http://schemas.microsoft.com/office/drawing/2014/chart" uri="{C3380CC4-5D6E-409C-BE32-E72D297353CC}">
              <c16:uniqueId val="{00000000-9C08-453D-AFF0-DC5832E4FCD5}"/>
            </c:ext>
          </c:extLst>
        </c:ser>
        <c:ser>
          <c:idx val="1"/>
          <c:order val="1"/>
          <c:tx>
            <c:strRef>
              <c:f>'Calculation '!$U$1:$U$2</c:f>
              <c:strCache>
                <c:ptCount val="1"/>
                <c:pt idx="0">
                  <c:v>القاهرة</c:v>
                </c:pt>
              </c:strCache>
            </c:strRef>
          </c:tx>
          <c:spPr>
            <a:solidFill>
              <a:srgbClr val="FFB787"/>
            </a:solidFill>
            <a:ln>
              <a:noFill/>
            </a:ln>
            <a:effectLst/>
          </c:spPr>
          <c:invertIfNegative val="0"/>
          <c:cat>
            <c:strRef>
              <c:f>'Calculation '!$S$3:$S$15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'!$U$3:$U$15</c:f>
              <c:numCache>
                <c:formatCode>General</c:formatCode>
                <c:ptCount val="13"/>
                <c:pt idx="0">
                  <c:v>3</c:v>
                </c:pt>
                <c:pt idx="1">
                  <c:v>3</c:v>
                </c:pt>
                <c:pt idx="2">
                  <c:v>1</c:v>
                </c:pt>
                <c:pt idx="3">
                  <c:v>2</c:v>
                </c:pt>
                <c:pt idx="5">
                  <c:v>2</c:v>
                </c:pt>
                <c:pt idx="8">
                  <c:v>5</c:v>
                </c:pt>
                <c:pt idx="9">
                  <c:v>3</c:v>
                </c:pt>
                <c:pt idx="10">
                  <c:v>1</c:v>
                </c:pt>
                <c:pt idx="11">
                  <c:v>14</c:v>
                </c:pt>
                <c:pt idx="12">
                  <c:v>2</c:v>
                </c:pt>
              </c:numCache>
            </c:numRef>
          </c:val>
          <c:extLst>
            <c:ext xmlns:c16="http://schemas.microsoft.com/office/drawing/2014/chart" uri="{C3380CC4-5D6E-409C-BE32-E72D297353CC}">
              <c16:uniqueId val="{00000005-8CF2-42A8-93E9-ABD0E45836FF}"/>
            </c:ext>
          </c:extLst>
        </c:ser>
        <c:ser>
          <c:idx val="2"/>
          <c:order val="2"/>
          <c:tx>
            <c:strRef>
              <c:f>'Calculation '!$V$1:$V$2</c:f>
              <c:strCache>
                <c:ptCount val="1"/>
                <c:pt idx="0">
                  <c:v>طنطا</c:v>
                </c:pt>
              </c:strCache>
            </c:strRef>
          </c:tx>
          <c:spPr>
            <a:solidFill>
              <a:srgbClr val="FF0000"/>
            </a:solidFill>
            <a:ln>
              <a:noFill/>
            </a:ln>
            <a:effectLst/>
          </c:spPr>
          <c:invertIfNegative val="0"/>
          <c:cat>
            <c:strRef>
              <c:f>'Calculation '!$S$3:$S$15</c:f>
              <c:strCache>
                <c:ptCount val="13"/>
                <c:pt idx="0">
                  <c:v>Accountant</c:v>
                </c:pt>
                <c:pt idx="1">
                  <c:v>Digital marketing specialist</c:v>
                </c:pt>
                <c:pt idx="2">
                  <c:v>Financial Manager</c:v>
                </c:pt>
                <c:pt idx="3">
                  <c:v>HR Coordinator</c:v>
                </c:pt>
                <c:pt idx="4">
                  <c:v>HR Manager</c:v>
                </c:pt>
                <c:pt idx="5">
                  <c:v>HR Specialist</c:v>
                </c:pt>
                <c:pt idx="6">
                  <c:v>IT Manager</c:v>
                </c:pt>
                <c:pt idx="7">
                  <c:v>Marketing Manager</c:v>
                </c:pt>
                <c:pt idx="8">
                  <c:v>Products Marketing Coordinator</c:v>
                </c:pt>
                <c:pt idx="9">
                  <c:v>Recruitment Specialsit</c:v>
                </c:pt>
                <c:pt idx="10">
                  <c:v>Sales Manager</c:v>
                </c:pt>
                <c:pt idx="11">
                  <c:v>Sales rep.</c:v>
                </c:pt>
                <c:pt idx="12">
                  <c:v>Software developer</c:v>
                </c:pt>
              </c:strCache>
            </c:strRef>
          </c:cat>
          <c:val>
            <c:numRef>
              <c:f>'Calculation '!$V$3:$V$15</c:f>
              <c:numCache>
                <c:formatCode>General</c:formatCode>
                <c:ptCount val="13"/>
                <c:pt idx="0">
                  <c:v>4</c:v>
                </c:pt>
                <c:pt idx="3">
                  <c:v>3</c:v>
                </c:pt>
                <c:pt idx="5">
                  <c:v>1</c:v>
                </c:pt>
                <c:pt idx="6">
                  <c:v>2</c:v>
                </c:pt>
                <c:pt idx="8">
                  <c:v>1</c:v>
                </c:pt>
                <c:pt idx="9">
                  <c:v>1</c:v>
                </c:pt>
                <c:pt idx="11">
                  <c:v>4</c:v>
                </c:pt>
                <c:pt idx="12">
                  <c:v>2</c:v>
                </c:pt>
              </c:numCache>
            </c:numRef>
          </c:val>
          <c:extLst>
            <c:ext xmlns:c16="http://schemas.microsoft.com/office/drawing/2014/chart" uri="{C3380CC4-5D6E-409C-BE32-E72D297353CC}">
              <c16:uniqueId val="{00000006-8CF2-42A8-93E9-ABD0E45836FF}"/>
            </c:ext>
          </c:extLst>
        </c:ser>
        <c:dLbls>
          <c:showLegendKey val="0"/>
          <c:showVal val="0"/>
          <c:showCatName val="0"/>
          <c:showSerName val="0"/>
          <c:showPercent val="0"/>
          <c:showBubbleSize val="0"/>
        </c:dLbls>
        <c:gapWidth val="219"/>
        <c:overlap val="-27"/>
        <c:axId val="2124451360"/>
        <c:axId val="2124468160"/>
      </c:barChart>
      <c:catAx>
        <c:axId val="21244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24468160"/>
        <c:crosses val="autoZero"/>
        <c:auto val="1"/>
        <c:lblAlgn val="ctr"/>
        <c:lblOffset val="100"/>
        <c:noMultiLvlLbl val="0"/>
      </c:catAx>
      <c:valAx>
        <c:axId val="2124468160"/>
        <c:scaling>
          <c:orientation val="minMax"/>
        </c:scaling>
        <c:delete val="1"/>
        <c:axPos val="l"/>
        <c:numFmt formatCode="General" sourceLinked="1"/>
        <c:majorTickMark val="out"/>
        <c:minorTickMark val="none"/>
        <c:tickLblPos val="nextTo"/>
        <c:crossAx val="212445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[Mohamd Ayman final project (Excl).xlsx]Calculation !PivotTable12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'!$AB$1:$AB$2</c:f>
              <c:strCache>
                <c:ptCount val="1"/>
                <c:pt idx="0">
                  <c:v>الاسكندرية</c:v>
                </c:pt>
              </c:strCache>
            </c:strRef>
          </c:tx>
          <c:spPr>
            <a:solidFill>
              <a:schemeClr val="accent1"/>
            </a:solidFill>
            <a:ln>
              <a:noFill/>
            </a:ln>
            <a:effectLst/>
          </c:spPr>
          <c:invertIfNegative val="0"/>
          <c:cat>
            <c:strRef>
              <c:f>'Calculation '!$AA$3:$AA$5</c:f>
              <c:strCache>
                <c:ptCount val="3"/>
                <c:pt idx="0">
                  <c:v>بكالوريوس</c:v>
                </c:pt>
                <c:pt idx="1">
                  <c:v>دبلوم</c:v>
                </c:pt>
                <c:pt idx="2">
                  <c:v>ماجستير</c:v>
                </c:pt>
              </c:strCache>
            </c:strRef>
          </c:cat>
          <c:val>
            <c:numRef>
              <c:f>'Calculation '!$AB$3:$AB$5</c:f>
              <c:numCache>
                <c:formatCode>General</c:formatCode>
                <c:ptCount val="3"/>
                <c:pt idx="0">
                  <c:v>27</c:v>
                </c:pt>
                <c:pt idx="1">
                  <c:v>18</c:v>
                </c:pt>
                <c:pt idx="2">
                  <c:v>1</c:v>
                </c:pt>
              </c:numCache>
            </c:numRef>
          </c:val>
          <c:extLst>
            <c:ext xmlns:c16="http://schemas.microsoft.com/office/drawing/2014/chart" uri="{C3380CC4-5D6E-409C-BE32-E72D297353CC}">
              <c16:uniqueId val="{00000000-5499-4066-9E24-CB2F7D15A8FE}"/>
            </c:ext>
          </c:extLst>
        </c:ser>
        <c:ser>
          <c:idx val="1"/>
          <c:order val="1"/>
          <c:tx>
            <c:strRef>
              <c:f>'Calculation '!$AC$1:$AC$2</c:f>
              <c:strCache>
                <c:ptCount val="1"/>
                <c:pt idx="0">
                  <c:v>القاهرة</c:v>
                </c:pt>
              </c:strCache>
            </c:strRef>
          </c:tx>
          <c:spPr>
            <a:solidFill>
              <a:schemeClr val="accent2"/>
            </a:solidFill>
            <a:ln>
              <a:noFill/>
            </a:ln>
            <a:effectLst/>
          </c:spPr>
          <c:invertIfNegative val="0"/>
          <c:cat>
            <c:strRef>
              <c:f>'Calculation '!$AA$3:$AA$5</c:f>
              <c:strCache>
                <c:ptCount val="3"/>
                <c:pt idx="0">
                  <c:v>بكالوريوس</c:v>
                </c:pt>
                <c:pt idx="1">
                  <c:v>دبلوم</c:v>
                </c:pt>
                <c:pt idx="2">
                  <c:v>ماجستير</c:v>
                </c:pt>
              </c:strCache>
            </c:strRef>
          </c:cat>
          <c:val>
            <c:numRef>
              <c:f>'Calculation '!$AC$3:$AC$5</c:f>
              <c:numCache>
                <c:formatCode>General</c:formatCode>
                <c:ptCount val="3"/>
                <c:pt idx="0">
                  <c:v>21</c:v>
                </c:pt>
                <c:pt idx="1">
                  <c:v>14</c:v>
                </c:pt>
                <c:pt idx="2">
                  <c:v>1</c:v>
                </c:pt>
              </c:numCache>
            </c:numRef>
          </c:val>
          <c:extLst>
            <c:ext xmlns:c16="http://schemas.microsoft.com/office/drawing/2014/chart" uri="{C3380CC4-5D6E-409C-BE32-E72D297353CC}">
              <c16:uniqueId val="{00000004-7C03-4782-BFF4-F6A890D92983}"/>
            </c:ext>
          </c:extLst>
        </c:ser>
        <c:ser>
          <c:idx val="2"/>
          <c:order val="2"/>
          <c:tx>
            <c:strRef>
              <c:f>'Calculation '!$AD$1:$AD$2</c:f>
              <c:strCache>
                <c:ptCount val="1"/>
                <c:pt idx="0">
                  <c:v>طنطا</c:v>
                </c:pt>
              </c:strCache>
            </c:strRef>
          </c:tx>
          <c:spPr>
            <a:solidFill>
              <a:schemeClr val="accent3"/>
            </a:solidFill>
            <a:ln>
              <a:noFill/>
            </a:ln>
            <a:effectLst/>
          </c:spPr>
          <c:invertIfNegative val="0"/>
          <c:cat>
            <c:strRef>
              <c:f>'Calculation '!$AA$3:$AA$5</c:f>
              <c:strCache>
                <c:ptCount val="3"/>
                <c:pt idx="0">
                  <c:v>بكالوريوس</c:v>
                </c:pt>
                <c:pt idx="1">
                  <c:v>دبلوم</c:v>
                </c:pt>
                <c:pt idx="2">
                  <c:v>ماجستير</c:v>
                </c:pt>
              </c:strCache>
            </c:strRef>
          </c:cat>
          <c:val>
            <c:numRef>
              <c:f>'Calculation '!$AD$3:$AD$5</c:f>
              <c:numCache>
                <c:formatCode>General</c:formatCode>
                <c:ptCount val="3"/>
                <c:pt idx="0">
                  <c:v>12</c:v>
                </c:pt>
                <c:pt idx="1">
                  <c:v>4</c:v>
                </c:pt>
                <c:pt idx="2">
                  <c:v>2</c:v>
                </c:pt>
              </c:numCache>
            </c:numRef>
          </c:val>
          <c:extLst>
            <c:ext xmlns:c16="http://schemas.microsoft.com/office/drawing/2014/chart" uri="{C3380CC4-5D6E-409C-BE32-E72D297353CC}">
              <c16:uniqueId val="{00000005-7C03-4782-BFF4-F6A890D92983}"/>
            </c:ext>
          </c:extLst>
        </c:ser>
        <c:dLbls>
          <c:showLegendKey val="0"/>
          <c:showVal val="0"/>
          <c:showCatName val="0"/>
          <c:showSerName val="0"/>
          <c:showPercent val="0"/>
          <c:showBubbleSize val="0"/>
        </c:dLbls>
        <c:gapWidth val="182"/>
        <c:axId val="2124502240"/>
        <c:axId val="2124496000"/>
      </c:barChart>
      <c:catAx>
        <c:axId val="212450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96000"/>
        <c:crosses val="autoZero"/>
        <c:auto val="1"/>
        <c:lblAlgn val="ctr"/>
        <c:lblOffset val="100"/>
        <c:noMultiLvlLbl val="0"/>
      </c:catAx>
      <c:valAx>
        <c:axId val="212449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50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location overview'!A1"/><Relationship Id="rId7" Type="http://schemas.openxmlformats.org/officeDocument/2006/relationships/image" Target="../media/image4.png"/><Relationship Id="rId2" Type="http://schemas.openxmlformats.org/officeDocument/2006/relationships/hyperlink" Target="#'emplyee Info '!A1"/><Relationship Id="rId1" Type="http://schemas.openxmlformats.org/officeDocument/2006/relationships/image" Target="../media/image1.jp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hyperlink" Target="#'Department Overview'!A1"/></Relationships>
</file>

<file path=xl/drawings/_rels/drawing3.xml.rels><?xml version="1.0" encoding="UTF-8" standalone="yes"?>
<Relationships xmlns="http://schemas.openxmlformats.org/package/2006/relationships"><Relationship Id="rId1" Type="http://schemas.openxmlformats.org/officeDocument/2006/relationships/hyperlink" Target="#Navigation!A1"/></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8.png"/><Relationship Id="rId7" Type="http://schemas.openxmlformats.org/officeDocument/2006/relationships/chart" Target="../charts/chart10.xml"/><Relationship Id="rId12" Type="http://schemas.openxmlformats.org/officeDocument/2006/relationships/hyperlink" Target="#Navigation!A1"/><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9.xml"/><Relationship Id="rId11" Type="http://schemas.openxmlformats.org/officeDocument/2006/relationships/image" Target="../media/image5.png"/><Relationship Id="rId5" Type="http://schemas.openxmlformats.org/officeDocument/2006/relationships/image" Target="../media/image10.png"/><Relationship Id="rId10" Type="http://schemas.openxmlformats.org/officeDocument/2006/relationships/chart" Target="../charts/chart13.xml"/><Relationship Id="rId4" Type="http://schemas.openxmlformats.org/officeDocument/2006/relationships/image" Target="../media/image9.png"/><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8.png"/><Relationship Id="rId7" Type="http://schemas.openxmlformats.org/officeDocument/2006/relationships/chart" Target="../charts/chart14.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5.png"/><Relationship Id="rId11" Type="http://schemas.openxmlformats.org/officeDocument/2006/relationships/hyperlink" Target="#Navigation!A1"/><Relationship Id="rId5" Type="http://schemas.openxmlformats.org/officeDocument/2006/relationships/image" Target="../media/image10.png"/><Relationship Id="rId10" Type="http://schemas.openxmlformats.org/officeDocument/2006/relationships/chart" Target="../charts/chart17.xml"/><Relationship Id="rId4" Type="http://schemas.openxmlformats.org/officeDocument/2006/relationships/image" Target="../media/image9.png"/><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66675</xdr:rowOff>
    </xdr:from>
    <xdr:to>
      <xdr:col>2</xdr:col>
      <xdr:colOff>1514475</xdr:colOff>
      <xdr:row>19</xdr:row>
      <xdr:rowOff>142875</xdr:rowOff>
    </xdr:to>
    <xdr:graphicFrame macro="">
      <xdr:nvGraphicFramePr>
        <xdr:cNvPr id="2" name="Chart 1">
          <a:extLst>
            <a:ext uri="{FF2B5EF4-FFF2-40B4-BE49-F238E27FC236}">
              <a16:creationId xmlns:a16="http://schemas.microsoft.com/office/drawing/2014/main" id="{A7E51C0C-7C01-09B0-12FA-682949D4F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5</xdr:row>
      <xdr:rowOff>9525</xdr:rowOff>
    </xdr:from>
    <xdr:to>
      <xdr:col>6</xdr:col>
      <xdr:colOff>990600</xdr:colOff>
      <xdr:row>19</xdr:row>
      <xdr:rowOff>85725</xdr:rowOff>
    </xdr:to>
    <xdr:graphicFrame macro="">
      <xdr:nvGraphicFramePr>
        <xdr:cNvPr id="4" name="Chart 3">
          <a:extLst>
            <a:ext uri="{FF2B5EF4-FFF2-40B4-BE49-F238E27FC236}">
              <a16:creationId xmlns:a16="http://schemas.microsoft.com/office/drawing/2014/main" id="{83E64C3D-7929-A61A-01FA-F52F3642F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238125</xdr:colOff>
      <xdr:row>5</xdr:row>
      <xdr:rowOff>47625</xdr:rowOff>
    </xdr:from>
    <xdr:to>
      <xdr:col>11</xdr:col>
      <xdr:colOff>428625</xdr:colOff>
      <xdr:row>19</xdr:row>
      <xdr:rowOff>123825</xdr:rowOff>
    </xdr:to>
    <xdr:graphicFrame macro="">
      <xdr:nvGraphicFramePr>
        <xdr:cNvPr id="5" name="Chart 4">
          <a:extLst>
            <a:ext uri="{FF2B5EF4-FFF2-40B4-BE49-F238E27FC236}">
              <a16:creationId xmlns:a16="http://schemas.microsoft.com/office/drawing/2014/main" id="{FA472E9F-3E8D-0D5E-A43D-14A151EE0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47625</xdr:colOff>
      <xdr:row>15</xdr:row>
      <xdr:rowOff>104775</xdr:rowOff>
    </xdr:from>
    <xdr:to>
      <xdr:col>16</xdr:col>
      <xdr:colOff>457200</xdr:colOff>
      <xdr:row>29</xdr:row>
      <xdr:rowOff>180975</xdr:rowOff>
    </xdr:to>
    <xdr:graphicFrame macro="">
      <xdr:nvGraphicFramePr>
        <xdr:cNvPr id="6" name="Chart 5">
          <a:extLst>
            <a:ext uri="{FF2B5EF4-FFF2-40B4-BE49-F238E27FC236}">
              <a16:creationId xmlns:a16="http://schemas.microsoft.com/office/drawing/2014/main" id="{83CF004B-DC33-7445-CF90-2A00A8237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xdr:colOff>
      <xdr:row>15</xdr:row>
      <xdr:rowOff>47625</xdr:rowOff>
    </xdr:from>
    <xdr:to>
      <xdr:col>22</xdr:col>
      <xdr:colOff>38100</xdr:colOff>
      <xdr:row>29</xdr:row>
      <xdr:rowOff>123825</xdr:rowOff>
    </xdr:to>
    <xdr:graphicFrame macro="">
      <xdr:nvGraphicFramePr>
        <xdr:cNvPr id="7" name="Chart 6">
          <a:extLst>
            <a:ext uri="{FF2B5EF4-FFF2-40B4-BE49-F238E27FC236}">
              <a16:creationId xmlns:a16="http://schemas.microsoft.com/office/drawing/2014/main" id="{38D5A915-DCDE-3504-C144-80ABC7E9A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9525</xdr:colOff>
      <xdr:row>11</xdr:row>
      <xdr:rowOff>47625</xdr:rowOff>
    </xdr:from>
    <xdr:to>
      <xdr:col>26</xdr:col>
      <xdr:colOff>895350</xdr:colOff>
      <xdr:row>20</xdr:row>
      <xdr:rowOff>76200</xdr:rowOff>
    </xdr:to>
    <xdr:graphicFrame macro="">
      <xdr:nvGraphicFramePr>
        <xdr:cNvPr id="8" name="Chart 7">
          <a:extLst>
            <a:ext uri="{FF2B5EF4-FFF2-40B4-BE49-F238E27FC236}">
              <a16:creationId xmlns:a16="http://schemas.microsoft.com/office/drawing/2014/main" id="{BD893F16-B28A-D12B-C262-8A61733ED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28575</xdr:colOff>
      <xdr:row>20</xdr:row>
      <xdr:rowOff>114300</xdr:rowOff>
    </xdr:from>
    <xdr:to>
      <xdr:col>26</xdr:col>
      <xdr:colOff>904875</xdr:colOff>
      <xdr:row>30</xdr:row>
      <xdr:rowOff>19050</xdr:rowOff>
    </xdr:to>
    <xdr:graphicFrame macro="">
      <xdr:nvGraphicFramePr>
        <xdr:cNvPr id="9" name="Chart 8">
          <a:extLst>
            <a:ext uri="{FF2B5EF4-FFF2-40B4-BE49-F238E27FC236}">
              <a16:creationId xmlns:a16="http://schemas.microsoft.com/office/drawing/2014/main" id="{CFDCA710-0D2C-25EB-5649-4FE5F8004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1038225</xdr:colOff>
      <xdr:row>6</xdr:row>
      <xdr:rowOff>133350</xdr:rowOff>
    </xdr:from>
    <xdr:to>
      <xdr:col>35</xdr:col>
      <xdr:colOff>476250</xdr:colOff>
      <xdr:row>16</xdr:row>
      <xdr:rowOff>142875</xdr:rowOff>
    </xdr:to>
    <xdr:graphicFrame macro="">
      <xdr:nvGraphicFramePr>
        <xdr:cNvPr id="10" name="Chart 9">
          <a:extLst>
            <a:ext uri="{FF2B5EF4-FFF2-40B4-BE49-F238E27FC236}">
              <a16:creationId xmlns:a16="http://schemas.microsoft.com/office/drawing/2014/main" id="{4EE13A0D-3CDD-F6D6-8C40-6D15BF1AB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34</xdr:col>
      <xdr:colOff>342900</xdr:colOff>
      <xdr:row>0</xdr:row>
      <xdr:rowOff>123825</xdr:rowOff>
    </xdr:from>
    <xdr:to>
      <xdr:col>37</xdr:col>
      <xdr:colOff>123825</xdr:colOff>
      <xdr:row>13</xdr:row>
      <xdr:rowOff>171450</xdr:rowOff>
    </xdr:to>
    <mc:AlternateContent xmlns:mc="http://schemas.openxmlformats.org/markup-compatibility/2006" xmlns:a14="http://schemas.microsoft.com/office/drawing/2010/main">
      <mc:Choice Requires="a14">
        <xdr:graphicFrame macro="">
          <xdr:nvGraphicFramePr>
            <xdr:cNvPr id="11" name="الوظيفة">
              <a:extLst>
                <a:ext uri="{FF2B5EF4-FFF2-40B4-BE49-F238E27FC236}">
                  <a16:creationId xmlns:a16="http://schemas.microsoft.com/office/drawing/2014/main" id="{B8C71F64-A5D2-D8DE-E790-5CE0DD93F9DC}"/>
                </a:ext>
              </a:extLst>
            </xdr:cNvPr>
            <xdr:cNvGraphicFramePr/>
          </xdr:nvGraphicFramePr>
          <xdr:xfrm>
            <a:off x="0" y="0"/>
            <a:ext cx="0" cy="0"/>
          </xdr:xfrm>
          <a:graphic>
            <a:graphicData uri="http://schemas.microsoft.com/office/drawing/2010/slicer">
              <sle:slicer xmlns:sle="http://schemas.microsoft.com/office/drawing/2010/slicer" name="الوظيفة"/>
            </a:graphicData>
          </a:graphic>
        </xdr:graphicFrame>
      </mc:Choice>
      <mc:Fallback xmlns="">
        <xdr:sp macro="" textlink="">
          <xdr:nvSpPr>
            <xdr:cNvPr id="0" name=""/>
            <xdr:cNvSpPr>
              <a:spLocks noTextEdit="1"/>
            </xdr:cNvSpPr>
          </xdr:nvSpPr>
          <xdr:spPr>
            <a:xfrm>
              <a:off x="26289000" y="123825"/>
              <a:ext cx="20002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581025</xdr:colOff>
      <xdr:row>0</xdr:row>
      <xdr:rowOff>180975</xdr:rowOff>
    </xdr:from>
    <xdr:to>
      <xdr:col>38</xdr:col>
      <xdr:colOff>123825</xdr:colOff>
      <xdr:row>14</xdr:row>
      <xdr:rowOff>38100</xdr:rowOff>
    </xdr:to>
    <mc:AlternateContent xmlns:mc="http://schemas.openxmlformats.org/markup-compatibility/2006" xmlns:a14="http://schemas.microsoft.com/office/drawing/2010/main">
      <mc:Choice Requires="a14">
        <xdr:graphicFrame macro="">
          <xdr:nvGraphicFramePr>
            <xdr:cNvPr id="12" name="الموقع">
              <a:extLst>
                <a:ext uri="{FF2B5EF4-FFF2-40B4-BE49-F238E27FC236}">
                  <a16:creationId xmlns:a16="http://schemas.microsoft.com/office/drawing/2014/main" id="{961D3F17-4FF3-BA7D-D66D-6CC28CEC2C9A}"/>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26927175"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876300</xdr:colOff>
      <xdr:row>0</xdr:row>
      <xdr:rowOff>0</xdr:rowOff>
    </xdr:from>
    <xdr:to>
      <xdr:col>39</xdr:col>
      <xdr:colOff>19050</xdr:colOff>
      <xdr:row>13</xdr:row>
      <xdr:rowOff>47625</xdr:rowOff>
    </xdr:to>
    <mc:AlternateContent xmlns:mc="http://schemas.openxmlformats.org/markup-compatibility/2006" xmlns:a14="http://schemas.microsoft.com/office/drawing/2010/main">
      <mc:Choice Requires="a14">
        <xdr:graphicFrame macro="">
          <xdr:nvGraphicFramePr>
            <xdr:cNvPr id="13" name="المؤهل الدراسي">
              <a:extLst>
                <a:ext uri="{FF2B5EF4-FFF2-40B4-BE49-F238E27FC236}">
                  <a16:creationId xmlns:a16="http://schemas.microsoft.com/office/drawing/2014/main" id="{5B420A87-8E19-5654-51E7-9C5A4A080735}"/>
                </a:ext>
              </a:extLst>
            </xdr:cNvPr>
            <xdr:cNvGraphicFramePr/>
          </xdr:nvGraphicFramePr>
          <xdr:xfrm>
            <a:off x="0" y="0"/>
            <a:ext cx="0" cy="0"/>
          </xdr:xfrm>
          <a:graphic>
            <a:graphicData uri="http://schemas.microsoft.com/office/drawing/2010/slicer">
              <sle:slicer xmlns:sle="http://schemas.microsoft.com/office/drawing/2010/slicer" name="المؤهل الدراسي"/>
            </a:graphicData>
          </a:graphic>
        </xdr:graphicFrame>
      </mc:Choice>
      <mc:Fallback xmlns="">
        <xdr:sp macro="" textlink="">
          <xdr:nvSpPr>
            <xdr:cNvPr id="0" name=""/>
            <xdr:cNvSpPr>
              <a:spLocks noTextEdit="1"/>
            </xdr:cNvSpPr>
          </xdr:nvSpPr>
          <xdr:spPr>
            <a:xfrm>
              <a:off x="272224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303173</xdr:colOff>
      <xdr:row>0</xdr:row>
      <xdr:rowOff>9525</xdr:rowOff>
    </xdr:from>
    <xdr:to>
      <xdr:col>16</xdr:col>
      <xdr:colOff>517663</xdr:colOff>
      <xdr:row>2</xdr:row>
      <xdr:rowOff>95482</xdr:rowOff>
    </xdr:to>
    <xdr:sp macro="" textlink="">
      <xdr:nvSpPr>
        <xdr:cNvPr id="3" name="Rectangle: Rounded Corners 2">
          <a:extLst>
            <a:ext uri="{FF2B5EF4-FFF2-40B4-BE49-F238E27FC236}">
              <a16:creationId xmlns:a16="http://schemas.microsoft.com/office/drawing/2014/main" id="{8C27BCEF-6F5A-4A98-B642-8613417AD0D9}"/>
            </a:ext>
          </a:extLst>
        </xdr:cNvPr>
        <xdr:cNvSpPr/>
      </xdr:nvSpPr>
      <xdr:spPr>
        <a:xfrm>
          <a:off x="2135700" y="9525"/>
          <a:ext cx="7544599" cy="458674"/>
        </a:xfrm>
        <a:prstGeom prst="roundRect">
          <a:avLst/>
        </a:prstGeom>
        <a:gradFill flip="none" rotWithShape="1">
          <a:gsLst>
            <a:gs pos="0">
              <a:srgbClr val="C21D03">
                <a:shade val="30000"/>
                <a:satMod val="115000"/>
              </a:srgbClr>
            </a:gs>
            <a:gs pos="50000">
              <a:srgbClr val="C21D03">
                <a:shade val="67500"/>
                <a:satMod val="115000"/>
              </a:srgbClr>
            </a:gs>
            <a:gs pos="100000">
              <a:srgbClr val="C21D03">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baseline="0">
              <a:solidFill>
                <a:srgbClr val="FD5732"/>
              </a:solidFill>
              <a:latin typeface="Arial Black" panose="020B0A04020102020204" pitchFamily="34" charset="0"/>
              <a:ea typeface="+mn-ea"/>
              <a:cs typeface="+mn-cs"/>
            </a:rPr>
            <a:t>Performance Analysis</a:t>
          </a:r>
          <a:endParaRPr lang="en-US" sz="2400" b="1">
            <a:solidFill>
              <a:srgbClr val="FD5732"/>
            </a:solidFill>
            <a:latin typeface="Arial Black" panose="020B0A04020102020204" pitchFamily="34" charset="0"/>
            <a:ea typeface="+mn-ea"/>
            <a:cs typeface="+mn-cs"/>
          </a:endParaRPr>
        </a:p>
      </xdr:txBody>
    </xdr:sp>
    <xdr:clientData/>
  </xdr:twoCellAnchor>
  <xdr:twoCellAnchor editAs="oneCell">
    <xdr:from>
      <xdr:col>1</xdr:col>
      <xdr:colOff>352423</xdr:colOff>
      <xdr:row>0</xdr:row>
      <xdr:rowOff>28575</xdr:rowOff>
    </xdr:from>
    <xdr:to>
      <xdr:col>4</xdr:col>
      <xdr:colOff>180975</xdr:colOff>
      <xdr:row>2</xdr:row>
      <xdr:rowOff>87971</xdr:rowOff>
    </xdr:to>
    <xdr:pic>
      <xdr:nvPicPr>
        <xdr:cNvPr id="6" name="Picture 5">
          <a:extLst>
            <a:ext uri="{FF2B5EF4-FFF2-40B4-BE49-F238E27FC236}">
              <a16:creationId xmlns:a16="http://schemas.microsoft.com/office/drawing/2014/main" id="{5D830606-B0E5-A4C6-FF7C-5D35B4A4989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736" t="31697" r="6736" b="31697"/>
        <a:stretch>
          <a:fillRect/>
        </a:stretch>
      </xdr:blipFill>
      <xdr:spPr>
        <a:xfrm>
          <a:off x="962023" y="28575"/>
          <a:ext cx="1657351" cy="440396"/>
        </a:xfrm>
        <a:prstGeom prst="rect">
          <a:avLst/>
        </a:prstGeom>
      </xdr:spPr>
    </xdr:pic>
    <xdr:clientData/>
  </xdr:twoCellAnchor>
  <xdr:twoCellAnchor>
    <xdr:from>
      <xdr:col>6</xdr:col>
      <xdr:colOff>536465</xdr:colOff>
      <xdr:row>6</xdr:row>
      <xdr:rowOff>110470</xdr:rowOff>
    </xdr:from>
    <xdr:to>
      <xdr:col>16</xdr:col>
      <xdr:colOff>465897</xdr:colOff>
      <xdr:row>18</xdr:row>
      <xdr:rowOff>142876</xdr:rowOff>
    </xdr:to>
    <xdr:sp macro="" textlink="">
      <xdr:nvSpPr>
        <xdr:cNvPr id="14" name="Rectangle: Diagonal Corners Rounded 13">
          <a:extLst>
            <a:ext uri="{FF2B5EF4-FFF2-40B4-BE49-F238E27FC236}">
              <a16:creationId xmlns:a16="http://schemas.microsoft.com/office/drawing/2014/main" id="{6C14634D-1444-4EE0-99D2-20702490D6EB}"/>
            </a:ext>
          </a:extLst>
        </xdr:cNvPr>
        <xdr:cNvSpPr/>
      </xdr:nvSpPr>
      <xdr:spPr>
        <a:xfrm>
          <a:off x="3584465" y="1253470"/>
          <a:ext cx="6025432" cy="2318406"/>
        </a:xfrm>
        <a:prstGeom prst="round2DiagRect">
          <a:avLst/>
        </a:prstGeom>
        <a:solidFill>
          <a:srgbClr val="C8C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346405</xdr:colOff>
      <xdr:row>8</xdr:row>
      <xdr:rowOff>113836</xdr:rowOff>
    </xdr:from>
    <xdr:to>
      <xdr:col>10</xdr:col>
      <xdr:colOff>317655</xdr:colOff>
      <xdr:row>12</xdr:row>
      <xdr:rowOff>43684</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1E5CEE42-1930-058D-C26D-225A5B38BB42}"/>
            </a:ext>
          </a:extLst>
        </xdr:cNvPr>
        <xdr:cNvSpPr/>
      </xdr:nvSpPr>
      <xdr:spPr>
        <a:xfrm>
          <a:off x="4638129" y="1602802"/>
          <a:ext cx="1810560" cy="674330"/>
        </a:xfrm>
        <a:prstGeom prst="roundRect">
          <a:avLst>
            <a:gd name="adj" fmla="val 50000"/>
          </a:avLst>
        </a:prstGeom>
        <a:solidFill>
          <a:srgbClr val="4B48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Employee</a:t>
          </a:r>
          <a:r>
            <a:rPr lang="en-US" sz="1200" b="1" baseline="0"/>
            <a:t> Information </a:t>
          </a:r>
          <a:endParaRPr lang="en-US" sz="1200" b="1"/>
        </a:p>
      </xdr:txBody>
    </xdr:sp>
    <xdr:clientData/>
  </xdr:twoCellAnchor>
  <xdr:twoCellAnchor>
    <xdr:from>
      <xdr:col>12</xdr:col>
      <xdr:colOff>510630</xdr:colOff>
      <xdr:row>8</xdr:row>
      <xdr:rowOff>149020</xdr:rowOff>
    </xdr:from>
    <xdr:to>
      <xdr:col>15</xdr:col>
      <xdr:colOff>481879</xdr:colOff>
      <xdr:row>12</xdr:row>
      <xdr:rowOff>5851</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18FFD677-9AAF-41CC-90BA-7F0D1EF89DCA}"/>
            </a:ext>
          </a:extLst>
        </xdr:cNvPr>
        <xdr:cNvSpPr/>
      </xdr:nvSpPr>
      <xdr:spPr>
        <a:xfrm>
          <a:off x="7867871" y="1637986"/>
          <a:ext cx="1810560" cy="601313"/>
        </a:xfrm>
        <a:prstGeom prst="roundRect">
          <a:avLst>
            <a:gd name="adj" fmla="val 50000"/>
          </a:avLst>
        </a:prstGeom>
        <a:solidFill>
          <a:srgbClr val="4B4848"/>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a:solidFill>
                <a:schemeClr val="lt1"/>
              </a:solidFill>
              <a:latin typeface="+mn-lt"/>
              <a:ea typeface="+mn-ea"/>
              <a:cs typeface="+mn-cs"/>
            </a:rPr>
            <a:t>Location Overview</a:t>
          </a:r>
        </a:p>
      </xdr:txBody>
    </xdr:sp>
    <xdr:clientData/>
  </xdr:twoCellAnchor>
  <xdr:twoCellAnchor>
    <xdr:from>
      <xdr:col>10</xdr:col>
      <xdr:colOff>171246</xdr:colOff>
      <xdr:row>14</xdr:row>
      <xdr:rowOff>384</xdr:rowOff>
    </xdr:from>
    <xdr:to>
      <xdr:col>13</xdr:col>
      <xdr:colOff>142495</xdr:colOff>
      <xdr:row>17</xdr:row>
      <xdr:rowOff>47715</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013CEB0-40CA-47ED-99DD-24277DE1AEF6}"/>
            </a:ext>
          </a:extLst>
        </xdr:cNvPr>
        <xdr:cNvSpPr/>
      </xdr:nvSpPr>
      <xdr:spPr>
        <a:xfrm>
          <a:off x="5657646" y="2667384"/>
          <a:ext cx="1800049" cy="618831"/>
        </a:xfrm>
        <a:prstGeom prst="roundRect">
          <a:avLst>
            <a:gd name="adj" fmla="val 50000"/>
          </a:avLst>
        </a:prstGeom>
        <a:solidFill>
          <a:srgbClr val="4B4848"/>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a:solidFill>
                <a:schemeClr val="lt1"/>
              </a:solidFill>
              <a:latin typeface="+mn-lt"/>
              <a:ea typeface="+mn-ea"/>
              <a:cs typeface="+mn-cs"/>
            </a:rPr>
            <a:t>Department Overview</a:t>
          </a:r>
        </a:p>
      </xdr:txBody>
    </xdr:sp>
    <xdr:clientData/>
  </xdr:twoCellAnchor>
  <xdr:twoCellAnchor>
    <xdr:from>
      <xdr:col>17</xdr:col>
      <xdr:colOff>37895</xdr:colOff>
      <xdr:row>0</xdr:row>
      <xdr:rowOff>47830</xdr:rowOff>
    </xdr:from>
    <xdr:to>
      <xdr:col>19</xdr:col>
      <xdr:colOff>531719</xdr:colOff>
      <xdr:row>4</xdr:row>
      <xdr:rowOff>87358</xdr:rowOff>
    </xdr:to>
    <xdr:sp macro="" textlink="">
      <xdr:nvSpPr>
        <xdr:cNvPr id="20" name="Rectangle: Rounded Corners 19">
          <a:extLst>
            <a:ext uri="{FF2B5EF4-FFF2-40B4-BE49-F238E27FC236}">
              <a16:creationId xmlns:a16="http://schemas.microsoft.com/office/drawing/2014/main" id="{CF0FB383-868C-4DF9-AC24-67BBD3ECDB2D}"/>
            </a:ext>
          </a:extLst>
        </xdr:cNvPr>
        <xdr:cNvSpPr/>
      </xdr:nvSpPr>
      <xdr:spPr>
        <a:xfrm rot="5400000">
          <a:off x="10276646" y="-417443"/>
          <a:ext cx="784963" cy="1715509"/>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indent="0" algn="ctr"/>
          <a:r>
            <a:rPr lang="en-US" sz="1100" b="1">
              <a:solidFill>
                <a:srgbClr val="232121"/>
              </a:solidFill>
              <a:latin typeface="+mn-lt"/>
              <a:ea typeface="+mn-ea"/>
              <a:cs typeface="+mn-cs"/>
            </a:rPr>
            <a:t>Directed </a:t>
          </a:r>
        </a:p>
        <a:p>
          <a:pPr marL="0" indent="0" algn="ctr"/>
          <a:r>
            <a:rPr lang="en-US" sz="1100" b="1">
              <a:solidFill>
                <a:srgbClr val="232121"/>
              </a:solidFill>
              <a:latin typeface="+mn-lt"/>
              <a:ea typeface="+mn-ea"/>
              <a:cs typeface="+mn-cs"/>
            </a:rPr>
            <a:t>by </a:t>
          </a:r>
        </a:p>
        <a:p>
          <a:pPr marL="0" lvl="0" indent="0" algn="ctr"/>
          <a:r>
            <a:rPr lang="en-US" sz="1100" b="1">
              <a:solidFill>
                <a:srgbClr val="232121"/>
              </a:solidFill>
              <a:latin typeface="+mn-lt"/>
              <a:ea typeface="+mn-ea"/>
              <a:cs typeface="+mn-cs"/>
            </a:rPr>
            <a:t>Mohamed Ayman</a:t>
          </a:r>
        </a:p>
        <a:p>
          <a:pPr marL="0" indent="0" algn="ctr"/>
          <a:endParaRPr lang="en-US" sz="1100" b="1">
            <a:solidFill>
              <a:srgbClr val="232121"/>
            </a:solidFill>
            <a:latin typeface="+mn-lt"/>
            <a:ea typeface="+mn-ea"/>
            <a:cs typeface="+mn-cs"/>
          </a:endParaRPr>
        </a:p>
      </xdr:txBody>
    </xdr:sp>
    <xdr:clientData/>
  </xdr:twoCellAnchor>
  <xdr:twoCellAnchor>
    <xdr:from>
      <xdr:col>17</xdr:col>
      <xdr:colOff>31474</xdr:colOff>
      <xdr:row>4</xdr:row>
      <xdr:rowOff>113473</xdr:rowOff>
    </xdr:from>
    <xdr:to>
      <xdr:col>19</xdr:col>
      <xdr:colOff>525298</xdr:colOff>
      <xdr:row>18</xdr:row>
      <xdr:rowOff>161928</xdr:rowOff>
    </xdr:to>
    <xdr:sp macro="" textlink="">
      <xdr:nvSpPr>
        <xdr:cNvPr id="21" name="Rectangle: Rounded Corners 20">
          <a:extLst>
            <a:ext uri="{FF2B5EF4-FFF2-40B4-BE49-F238E27FC236}">
              <a16:creationId xmlns:a16="http://schemas.microsoft.com/office/drawing/2014/main" id="{2F17ADB0-B8D7-4F48-B502-FB4E646BE14E}"/>
            </a:ext>
          </a:extLst>
        </xdr:cNvPr>
        <xdr:cNvSpPr/>
      </xdr:nvSpPr>
      <xdr:spPr>
        <a:xfrm rot="5400000">
          <a:off x="9283858" y="1376689"/>
          <a:ext cx="2715455" cy="1713024"/>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indent="0" algn="ctr"/>
          <a:endParaRPr lang="en-US" sz="1100" b="1">
            <a:solidFill>
              <a:srgbClr val="232121"/>
            </a:solidFill>
            <a:latin typeface="+mn-lt"/>
            <a:ea typeface="+mn-ea"/>
            <a:cs typeface="+mn-cs"/>
          </a:endParaRPr>
        </a:p>
      </xdr:txBody>
    </xdr:sp>
    <xdr:clientData/>
  </xdr:twoCellAnchor>
  <xdr:twoCellAnchor>
    <xdr:from>
      <xdr:col>6</xdr:col>
      <xdr:colOff>591316</xdr:colOff>
      <xdr:row>2</xdr:row>
      <xdr:rowOff>172873</xdr:rowOff>
    </xdr:from>
    <xdr:to>
      <xdr:col>16</xdr:col>
      <xdr:colOff>481724</xdr:colOff>
      <xdr:row>6</xdr:row>
      <xdr:rowOff>39523</xdr:rowOff>
    </xdr:to>
    <xdr:sp macro="" textlink="">
      <xdr:nvSpPr>
        <xdr:cNvPr id="24" name="Rectangle: Diagonal Corners Rounded 23">
          <a:extLst>
            <a:ext uri="{FF2B5EF4-FFF2-40B4-BE49-F238E27FC236}">
              <a16:creationId xmlns:a16="http://schemas.microsoft.com/office/drawing/2014/main" id="{DAE228DA-3430-D7E1-E57B-70AEB61FBAEE}"/>
            </a:ext>
          </a:extLst>
        </xdr:cNvPr>
        <xdr:cNvSpPr/>
      </xdr:nvSpPr>
      <xdr:spPr>
        <a:xfrm>
          <a:off x="4269937" y="545114"/>
          <a:ext cx="6021442" cy="611133"/>
        </a:xfrm>
        <a:prstGeom prst="round2DiagRect">
          <a:avLst>
            <a:gd name="adj1" fmla="val 16667"/>
            <a:gd name="adj2" fmla="val 6926"/>
          </a:avLst>
        </a:prstGeom>
        <a:solidFill>
          <a:srgbClr val="C8C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232121"/>
              </a:solidFill>
            </a:rPr>
            <a:t>Navigation Buttons</a:t>
          </a:r>
        </a:p>
      </xdr:txBody>
    </xdr:sp>
    <xdr:clientData/>
  </xdr:twoCellAnchor>
  <xdr:twoCellAnchor>
    <xdr:from>
      <xdr:col>1</xdr:col>
      <xdr:colOff>285750</xdr:colOff>
      <xdr:row>3</xdr:row>
      <xdr:rowOff>1</xdr:rowOff>
    </xdr:from>
    <xdr:to>
      <xdr:col>6</xdr:col>
      <xdr:colOff>457200</xdr:colOff>
      <xdr:row>18</xdr:row>
      <xdr:rowOff>114301</xdr:rowOff>
    </xdr:to>
    <xdr:sp macro="" textlink="">
      <xdr:nvSpPr>
        <xdr:cNvPr id="28" name="Rectangle: Rounded Corners 27">
          <a:extLst>
            <a:ext uri="{FF2B5EF4-FFF2-40B4-BE49-F238E27FC236}">
              <a16:creationId xmlns:a16="http://schemas.microsoft.com/office/drawing/2014/main" id="{337F5331-ABA0-13DD-5E4F-3CB125266F17}"/>
            </a:ext>
          </a:extLst>
        </xdr:cNvPr>
        <xdr:cNvSpPr/>
      </xdr:nvSpPr>
      <xdr:spPr>
        <a:xfrm>
          <a:off x="285750" y="571501"/>
          <a:ext cx="3219450" cy="2971800"/>
        </a:xfrm>
        <a:prstGeom prst="roundRect">
          <a:avLst>
            <a:gd name="adj" fmla="val 6583"/>
          </a:avLst>
        </a:prstGeom>
        <a:solidFill>
          <a:srgbClr val="C8C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461908</xdr:colOff>
      <xdr:row>3</xdr:row>
      <xdr:rowOff>148130</xdr:rowOff>
    </xdr:from>
    <xdr:to>
      <xdr:col>7</xdr:col>
      <xdr:colOff>432785</xdr:colOff>
      <xdr:row>7</xdr:row>
      <xdr:rowOff>118675</xdr:rowOff>
    </xdr:to>
    <xdr:grpSp>
      <xdr:nvGrpSpPr>
        <xdr:cNvPr id="42" name="Group 41">
          <a:extLst>
            <a:ext uri="{FF2B5EF4-FFF2-40B4-BE49-F238E27FC236}">
              <a16:creationId xmlns:a16="http://schemas.microsoft.com/office/drawing/2014/main" id="{FA70D6F3-6F8F-38E2-7AF8-A65272F6E551}"/>
            </a:ext>
          </a:extLst>
        </xdr:cNvPr>
        <xdr:cNvGrpSpPr/>
      </xdr:nvGrpSpPr>
      <xdr:grpSpPr>
        <a:xfrm>
          <a:off x="461908" y="719630"/>
          <a:ext cx="3628477" cy="732545"/>
          <a:chOff x="962025" y="561975"/>
          <a:chExt cx="3627624" cy="838200"/>
        </a:xfrm>
      </xdr:grpSpPr>
      <xdr:sp macro="" textlink="">
        <xdr:nvSpPr>
          <xdr:cNvPr id="34" name="Rectangle: Rounded Corners 33">
            <a:extLst>
              <a:ext uri="{FF2B5EF4-FFF2-40B4-BE49-F238E27FC236}">
                <a16:creationId xmlns:a16="http://schemas.microsoft.com/office/drawing/2014/main" id="{B17348C1-4CEB-41F3-8FE3-3ECC387BCD11}"/>
              </a:ext>
            </a:extLst>
          </xdr:cNvPr>
          <xdr:cNvSpPr/>
        </xdr:nvSpPr>
        <xdr:spPr>
          <a:xfrm>
            <a:off x="962025" y="666750"/>
            <a:ext cx="2933699" cy="638175"/>
          </a:xfrm>
          <a:prstGeom prst="round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D82DA2B9-A4A4-498D-AEFA-A56C704D06B5}"/>
              </a:ext>
            </a:extLst>
          </xdr:cNvPr>
          <xdr:cNvSpPr/>
        </xdr:nvSpPr>
        <xdr:spPr>
          <a:xfrm>
            <a:off x="1743075" y="762000"/>
            <a:ext cx="2152650" cy="638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232121"/>
                </a:solidFill>
              </a:rPr>
              <a:t>NUM.of</a:t>
            </a:r>
            <a:r>
              <a:rPr lang="en-US" sz="1200" b="1" baseline="0">
                <a:solidFill>
                  <a:srgbClr val="232121"/>
                </a:solidFill>
              </a:rPr>
              <a:t> Employee</a:t>
            </a:r>
            <a:endParaRPr lang="en-US" sz="1200" b="1">
              <a:solidFill>
                <a:srgbClr val="232121"/>
              </a:solidFill>
            </a:endParaRPr>
          </a:p>
        </xdr:txBody>
      </xdr:sp>
      <xdr:sp macro="" textlink="$V$7">
        <xdr:nvSpPr>
          <xdr:cNvPr id="39" name="Rectangle: Rounded Corners 38">
            <a:extLst>
              <a:ext uri="{FF2B5EF4-FFF2-40B4-BE49-F238E27FC236}">
                <a16:creationId xmlns:a16="http://schemas.microsoft.com/office/drawing/2014/main" id="{86F4541A-A0BB-4CED-9896-603911AE1FA2}"/>
              </a:ext>
            </a:extLst>
          </xdr:cNvPr>
          <xdr:cNvSpPr/>
        </xdr:nvSpPr>
        <xdr:spPr>
          <a:xfrm>
            <a:off x="2436999" y="742950"/>
            <a:ext cx="2152650" cy="638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3A70114-D5BF-4780-9182-841167E3B565}" type="TxLink">
              <a:rPr lang="en-US" sz="1800" b="1">
                <a:solidFill>
                  <a:srgbClr val="4B4848"/>
                </a:solidFill>
                <a:latin typeface="+mn-lt"/>
                <a:ea typeface="+mn-ea"/>
                <a:cs typeface="+mn-cs"/>
              </a:rPr>
              <a:pPr marL="0" indent="0" algn="ctr"/>
              <a:t>100</a:t>
            </a:fld>
            <a:endParaRPr lang="en-US" sz="1800" b="1">
              <a:solidFill>
                <a:srgbClr val="4B4848"/>
              </a:solidFill>
              <a:latin typeface="+mn-lt"/>
              <a:ea typeface="+mn-ea"/>
              <a:cs typeface="+mn-cs"/>
            </a:endParaRPr>
          </a:p>
        </xdr:txBody>
      </xdr:sp>
      <xdr:pic>
        <xdr:nvPicPr>
          <xdr:cNvPr id="41" name="Picture 40">
            <a:extLst>
              <a:ext uri="{FF2B5EF4-FFF2-40B4-BE49-F238E27FC236}">
                <a16:creationId xmlns:a16="http://schemas.microsoft.com/office/drawing/2014/main" id="{B7567F0E-E715-464C-D3DC-59359BB3D4B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38225" y="561975"/>
            <a:ext cx="771525" cy="771525"/>
          </a:xfrm>
          <a:prstGeom prst="rect">
            <a:avLst/>
          </a:prstGeom>
        </xdr:spPr>
      </xdr:pic>
    </xdr:grpSp>
    <xdr:clientData/>
  </xdr:twoCellAnchor>
  <xdr:twoCellAnchor>
    <xdr:from>
      <xdr:col>1</xdr:col>
      <xdr:colOff>317938</xdr:colOff>
      <xdr:row>15</xdr:row>
      <xdr:rowOff>26715</xdr:rowOff>
    </xdr:from>
    <xdr:to>
      <xdr:col>7</xdr:col>
      <xdr:colOff>375088</xdr:colOff>
      <xdr:row>18</xdr:row>
      <xdr:rowOff>77977</xdr:rowOff>
    </xdr:to>
    <xdr:grpSp>
      <xdr:nvGrpSpPr>
        <xdr:cNvPr id="67" name="Group 66">
          <a:extLst>
            <a:ext uri="{FF2B5EF4-FFF2-40B4-BE49-F238E27FC236}">
              <a16:creationId xmlns:a16="http://schemas.microsoft.com/office/drawing/2014/main" id="{A40E9E6A-8214-0406-C289-9847C8E3E31B}"/>
            </a:ext>
          </a:extLst>
        </xdr:cNvPr>
        <xdr:cNvGrpSpPr/>
      </xdr:nvGrpSpPr>
      <xdr:grpSpPr>
        <a:xfrm>
          <a:off x="317938" y="2884215"/>
          <a:ext cx="3714750" cy="622762"/>
          <a:chOff x="895350" y="2195897"/>
          <a:chExt cx="3735771" cy="699446"/>
        </a:xfrm>
      </xdr:grpSpPr>
      <xdr:grpSp>
        <xdr:nvGrpSpPr>
          <xdr:cNvPr id="53" name="Group 52">
            <a:extLst>
              <a:ext uri="{FF2B5EF4-FFF2-40B4-BE49-F238E27FC236}">
                <a16:creationId xmlns:a16="http://schemas.microsoft.com/office/drawing/2014/main" id="{12D33894-70ED-4336-B858-FF518E997BAD}"/>
              </a:ext>
            </a:extLst>
          </xdr:cNvPr>
          <xdr:cNvGrpSpPr/>
        </xdr:nvGrpSpPr>
        <xdr:grpSpPr>
          <a:xfrm>
            <a:off x="895350" y="2195897"/>
            <a:ext cx="3735771" cy="699446"/>
            <a:chOff x="962025" y="666750"/>
            <a:chExt cx="3486150" cy="714375"/>
          </a:xfrm>
        </xdr:grpSpPr>
        <xdr:sp macro="" textlink="">
          <xdr:nvSpPr>
            <xdr:cNvPr id="54" name="Rectangle: Rounded Corners 53">
              <a:extLst>
                <a:ext uri="{FF2B5EF4-FFF2-40B4-BE49-F238E27FC236}">
                  <a16:creationId xmlns:a16="http://schemas.microsoft.com/office/drawing/2014/main" id="{7AB482DA-59C4-0ADF-EDF3-33145DF0F36F}"/>
                </a:ext>
              </a:extLst>
            </xdr:cNvPr>
            <xdr:cNvSpPr/>
          </xdr:nvSpPr>
          <xdr:spPr>
            <a:xfrm>
              <a:off x="962025" y="666750"/>
              <a:ext cx="2933699" cy="638175"/>
            </a:xfrm>
            <a:prstGeom prst="round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Rounded Corners 54">
              <a:extLst>
                <a:ext uri="{FF2B5EF4-FFF2-40B4-BE49-F238E27FC236}">
                  <a16:creationId xmlns:a16="http://schemas.microsoft.com/office/drawing/2014/main" id="{8E73FB14-1093-4614-D795-D4C00A67597A}"/>
                </a:ext>
              </a:extLst>
            </xdr:cNvPr>
            <xdr:cNvSpPr/>
          </xdr:nvSpPr>
          <xdr:spPr>
            <a:xfrm>
              <a:off x="1504549" y="694908"/>
              <a:ext cx="2152650" cy="6811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232121"/>
                  </a:solidFill>
                </a:rPr>
                <a:t>Highest</a:t>
              </a:r>
              <a:r>
                <a:rPr lang="en-US" sz="1400" b="1" baseline="0">
                  <a:solidFill>
                    <a:srgbClr val="232121"/>
                  </a:solidFill>
                </a:rPr>
                <a:t> employee performance</a:t>
              </a:r>
              <a:endParaRPr lang="en-US" sz="1400" b="1">
                <a:solidFill>
                  <a:srgbClr val="232121"/>
                </a:solidFill>
              </a:endParaRPr>
            </a:p>
          </xdr:txBody>
        </xdr:sp>
        <xdr:sp macro="" textlink="$V$10">
          <xdr:nvSpPr>
            <xdr:cNvPr id="56" name="Rectangle: Rounded Corners 55">
              <a:extLst>
                <a:ext uri="{FF2B5EF4-FFF2-40B4-BE49-F238E27FC236}">
                  <a16:creationId xmlns:a16="http://schemas.microsoft.com/office/drawing/2014/main" id="{5DF29F50-E58F-5A72-8940-C8EA951D852D}"/>
                </a:ext>
              </a:extLst>
            </xdr:cNvPr>
            <xdr:cNvSpPr/>
          </xdr:nvSpPr>
          <xdr:spPr>
            <a:xfrm>
              <a:off x="2295525" y="742950"/>
              <a:ext cx="2152650" cy="638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FE85F9D-CA6E-464B-B692-4C0B0D63D15A}" type="TxLink">
                <a:rPr lang="ar-EG" sz="1600" b="1" i="0" u="none" strike="noStrike">
                  <a:solidFill>
                    <a:srgbClr val="000000"/>
                  </a:solidFill>
                  <a:latin typeface="Calibri"/>
                  <a:ea typeface="Calibri"/>
                  <a:cs typeface="Calibri"/>
                </a:rPr>
                <a:t>اسراء عصام</a:t>
              </a:fld>
              <a:endParaRPr lang="en-US" sz="2800" b="1">
                <a:solidFill>
                  <a:srgbClr val="4B4848"/>
                </a:solidFill>
                <a:latin typeface="+mn-lt"/>
                <a:ea typeface="+mn-ea"/>
                <a:cs typeface="+mn-cs"/>
              </a:endParaRPr>
            </a:p>
          </xdr:txBody>
        </xdr:sp>
      </xdr:grpSp>
      <xdr:pic>
        <xdr:nvPicPr>
          <xdr:cNvPr id="59" name="Picture 58">
            <a:extLst>
              <a:ext uri="{FF2B5EF4-FFF2-40B4-BE49-F238E27FC236}">
                <a16:creationId xmlns:a16="http://schemas.microsoft.com/office/drawing/2014/main" id="{39F7AE75-CC51-A34C-1757-1F25AE5A2DF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85343" y="2255345"/>
            <a:ext cx="476276" cy="476276"/>
          </a:xfrm>
          <a:prstGeom prst="rect">
            <a:avLst/>
          </a:prstGeom>
        </xdr:spPr>
      </xdr:pic>
    </xdr:grpSp>
    <xdr:clientData/>
  </xdr:twoCellAnchor>
  <xdr:twoCellAnchor>
    <xdr:from>
      <xdr:col>1</xdr:col>
      <xdr:colOff>407166</xdr:colOff>
      <xdr:row>10</xdr:row>
      <xdr:rowOff>38703</xdr:rowOff>
    </xdr:from>
    <xdr:to>
      <xdr:col>7</xdr:col>
      <xdr:colOff>459826</xdr:colOff>
      <xdr:row>13</xdr:row>
      <xdr:rowOff>110093</xdr:rowOff>
    </xdr:to>
    <xdr:grpSp>
      <xdr:nvGrpSpPr>
        <xdr:cNvPr id="68" name="Group 67">
          <a:extLst>
            <a:ext uri="{FF2B5EF4-FFF2-40B4-BE49-F238E27FC236}">
              <a16:creationId xmlns:a16="http://schemas.microsoft.com/office/drawing/2014/main" id="{C2B44EFE-A106-7F75-2ED4-E8A11849D87D}"/>
            </a:ext>
          </a:extLst>
        </xdr:cNvPr>
        <xdr:cNvGrpSpPr/>
      </xdr:nvGrpSpPr>
      <xdr:grpSpPr>
        <a:xfrm>
          <a:off x="407166" y="1943703"/>
          <a:ext cx="3710260" cy="642890"/>
          <a:chOff x="1020269" y="1947152"/>
          <a:chExt cx="3731281" cy="718098"/>
        </a:xfrm>
      </xdr:grpSpPr>
      <xdr:grpSp>
        <xdr:nvGrpSpPr>
          <xdr:cNvPr id="43" name="Group 42">
            <a:extLst>
              <a:ext uri="{FF2B5EF4-FFF2-40B4-BE49-F238E27FC236}">
                <a16:creationId xmlns:a16="http://schemas.microsoft.com/office/drawing/2014/main" id="{51A9C509-9C1B-46B7-828B-2072CF8B17A3}"/>
              </a:ext>
            </a:extLst>
          </xdr:cNvPr>
          <xdr:cNvGrpSpPr/>
        </xdr:nvGrpSpPr>
        <xdr:grpSpPr>
          <a:xfrm>
            <a:off x="1020269" y="1947152"/>
            <a:ext cx="3731281" cy="718098"/>
            <a:chOff x="962025" y="666750"/>
            <a:chExt cx="3569948" cy="733425"/>
          </a:xfrm>
        </xdr:grpSpPr>
        <xdr:sp macro="" textlink="">
          <xdr:nvSpPr>
            <xdr:cNvPr id="44" name="Rectangle: Rounded Corners 43">
              <a:extLst>
                <a:ext uri="{FF2B5EF4-FFF2-40B4-BE49-F238E27FC236}">
                  <a16:creationId xmlns:a16="http://schemas.microsoft.com/office/drawing/2014/main" id="{FA0321EC-5029-AAEA-92BD-48BF7348C722}"/>
                </a:ext>
              </a:extLst>
            </xdr:cNvPr>
            <xdr:cNvSpPr/>
          </xdr:nvSpPr>
          <xdr:spPr>
            <a:xfrm>
              <a:off x="962025" y="666750"/>
              <a:ext cx="2933699" cy="638175"/>
            </a:xfrm>
            <a:prstGeom prst="round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Rounded Corners 44">
              <a:extLst>
                <a:ext uri="{FF2B5EF4-FFF2-40B4-BE49-F238E27FC236}">
                  <a16:creationId xmlns:a16="http://schemas.microsoft.com/office/drawing/2014/main" id="{0255BB64-CF83-DBE4-1B44-8AAA3A78461E}"/>
                </a:ext>
              </a:extLst>
            </xdr:cNvPr>
            <xdr:cNvSpPr/>
          </xdr:nvSpPr>
          <xdr:spPr>
            <a:xfrm>
              <a:off x="1743075" y="762000"/>
              <a:ext cx="2152650" cy="638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232121"/>
                  </a:solidFill>
                </a:rPr>
                <a:t>Average Ages</a:t>
              </a:r>
            </a:p>
          </xdr:txBody>
        </xdr:sp>
        <xdr:sp macro="" textlink="$V$8">
          <xdr:nvSpPr>
            <xdr:cNvPr id="46" name="Rectangle: Rounded Corners 45">
              <a:extLst>
                <a:ext uri="{FF2B5EF4-FFF2-40B4-BE49-F238E27FC236}">
                  <a16:creationId xmlns:a16="http://schemas.microsoft.com/office/drawing/2014/main" id="{8DFF16FC-EACA-FB6F-F362-F5D624BF1367}"/>
                </a:ext>
              </a:extLst>
            </xdr:cNvPr>
            <xdr:cNvSpPr/>
          </xdr:nvSpPr>
          <xdr:spPr>
            <a:xfrm>
              <a:off x="2379323" y="742950"/>
              <a:ext cx="2152650" cy="638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1E439A2-3041-40CB-ACFF-D63682CF1873}" type="TxLink">
                <a:rPr lang="en-US" sz="1800" b="1" i="0" u="none" strike="noStrike">
                  <a:solidFill>
                    <a:srgbClr val="4B4848"/>
                  </a:solidFill>
                  <a:latin typeface="Calibri"/>
                  <a:ea typeface="Calibri"/>
                  <a:cs typeface="Calibri"/>
                </a:rPr>
                <a:t>51</a:t>
              </a:fld>
              <a:endParaRPr lang="en-US" sz="2400" b="1">
                <a:solidFill>
                  <a:srgbClr val="4B4848"/>
                </a:solidFill>
                <a:latin typeface="+mn-lt"/>
                <a:ea typeface="+mn-ea"/>
                <a:cs typeface="+mn-cs"/>
              </a:endParaRPr>
            </a:p>
          </xdr:txBody>
        </xdr:sp>
      </xdr:grpSp>
      <xdr:pic>
        <xdr:nvPicPr>
          <xdr:cNvPr id="61" name="Picture 60">
            <a:extLst>
              <a:ext uri="{FF2B5EF4-FFF2-40B4-BE49-F238E27FC236}">
                <a16:creationId xmlns:a16="http://schemas.microsoft.com/office/drawing/2014/main" id="{E84F4CCB-29D1-A298-CA55-47179E8CB5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16722" y="1959742"/>
            <a:ext cx="574808" cy="574808"/>
          </a:xfrm>
          <a:prstGeom prst="rect">
            <a:avLst/>
          </a:prstGeom>
        </xdr:spPr>
      </xdr:pic>
    </xdr:grpSp>
    <xdr:clientData/>
  </xdr:twoCellAnchor>
  <xdr:twoCellAnchor editAs="oneCell">
    <xdr:from>
      <xdr:col>17</xdr:col>
      <xdr:colOff>496370</xdr:colOff>
      <xdr:row>12</xdr:row>
      <xdr:rowOff>134430</xdr:rowOff>
    </xdr:from>
    <xdr:to>
      <xdr:col>19</xdr:col>
      <xdr:colOff>52780</xdr:colOff>
      <xdr:row>16</xdr:row>
      <xdr:rowOff>140125</xdr:rowOff>
    </xdr:to>
    <xdr:pic>
      <xdr:nvPicPr>
        <xdr:cNvPr id="69" name="Picture 68">
          <a:extLst>
            <a:ext uri="{FF2B5EF4-FFF2-40B4-BE49-F238E27FC236}">
              <a16:creationId xmlns:a16="http://schemas.microsoft.com/office/drawing/2014/main" id="{2DC94AC0-775C-4C2F-9B16-020CDEB00EB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249970" y="2420430"/>
          <a:ext cx="775610" cy="767695"/>
        </a:xfrm>
        <a:prstGeom prst="rect">
          <a:avLst/>
        </a:prstGeom>
      </xdr:spPr>
    </xdr:pic>
    <xdr:clientData/>
  </xdr:twoCellAnchor>
  <xdr:twoCellAnchor>
    <xdr:from>
      <xdr:col>17</xdr:col>
      <xdr:colOff>179932</xdr:colOff>
      <xdr:row>5</xdr:row>
      <xdr:rowOff>33444</xdr:rowOff>
    </xdr:from>
    <xdr:to>
      <xdr:col>19</xdr:col>
      <xdr:colOff>355105</xdr:colOff>
      <xdr:row>11</xdr:row>
      <xdr:rowOff>152403</xdr:rowOff>
    </xdr:to>
    <xdr:sp macro="" textlink="">
      <xdr:nvSpPr>
        <xdr:cNvPr id="70" name="Rectangle: Rounded Corners 69">
          <a:extLst>
            <a:ext uri="{FF2B5EF4-FFF2-40B4-BE49-F238E27FC236}">
              <a16:creationId xmlns:a16="http://schemas.microsoft.com/office/drawing/2014/main" id="{4951792C-E98A-4627-B904-8EF2386FF876}"/>
            </a:ext>
          </a:extLst>
        </xdr:cNvPr>
        <xdr:cNvSpPr/>
      </xdr:nvSpPr>
      <xdr:spPr>
        <a:xfrm rot="5400000">
          <a:off x="9999739" y="919737"/>
          <a:ext cx="1261959" cy="1394373"/>
        </a:xfrm>
        <a:prstGeom prst="roundRect">
          <a:avLst/>
        </a:prstGeom>
        <a:solidFill>
          <a:srgbClr val="F1F1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marL="0" indent="0" algn="ctr"/>
          <a:r>
            <a:rPr lang="en-US" sz="1100" b="1">
              <a:solidFill>
                <a:srgbClr val="232121"/>
              </a:solidFill>
              <a:latin typeface="+mn-lt"/>
              <a:ea typeface="+mn-ea"/>
              <a:cs typeface="+mn-cs"/>
            </a:rPr>
            <a:t>Date </a:t>
          </a:r>
        </a:p>
        <a:p>
          <a:pPr marL="0" indent="0" algn="ctr"/>
          <a:r>
            <a:rPr lang="en-US" sz="1100" b="1">
              <a:solidFill>
                <a:srgbClr val="232121"/>
              </a:solidFill>
              <a:latin typeface="+mn-lt"/>
              <a:ea typeface="+mn-ea"/>
              <a:cs typeface="+mn-cs"/>
            </a:rPr>
            <a:t>18/6/2025</a:t>
          </a:r>
        </a:p>
        <a:p>
          <a:pPr marL="0" indent="0" algn="ctr"/>
          <a:r>
            <a:rPr lang="en-US" sz="1100" b="1">
              <a:solidFill>
                <a:srgbClr val="232121"/>
              </a:solidFill>
              <a:latin typeface="+mn-lt"/>
              <a:ea typeface="+mn-ea"/>
              <a:cs typeface="+mn-cs"/>
            </a:rPr>
            <a:t>Wednesday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96116</xdr:colOff>
      <xdr:row>0</xdr:row>
      <xdr:rowOff>60614</xdr:rowOff>
    </xdr:from>
    <xdr:to>
      <xdr:col>14</xdr:col>
      <xdr:colOff>458066</xdr:colOff>
      <xdr:row>3</xdr:row>
      <xdr:rowOff>7588</xdr:rowOff>
    </xdr:to>
    <xdr:sp macro="" textlink="">
      <xdr:nvSpPr>
        <xdr:cNvPr id="2" name="Rectangle: Rounded Corners 1">
          <a:extLst>
            <a:ext uri="{FF2B5EF4-FFF2-40B4-BE49-F238E27FC236}">
              <a16:creationId xmlns:a16="http://schemas.microsoft.com/office/drawing/2014/main" id="{EDEDFC6B-940F-95E5-3BBB-92848ACAF54D}"/>
            </a:ext>
          </a:extLst>
        </xdr:cNvPr>
        <xdr:cNvSpPr/>
      </xdr:nvSpPr>
      <xdr:spPr>
        <a:xfrm>
          <a:off x="3126798" y="60614"/>
          <a:ext cx="5211041" cy="518474"/>
        </a:xfrm>
        <a:prstGeom prst="roundRect">
          <a:avLst/>
        </a:prstGeom>
        <a:gradFill flip="none" rotWithShape="1">
          <a:gsLst>
            <a:gs pos="0">
              <a:srgbClr val="C21D03">
                <a:shade val="30000"/>
                <a:satMod val="115000"/>
              </a:srgbClr>
            </a:gs>
            <a:gs pos="50000">
              <a:srgbClr val="C21D03">
                <a:shade val="67500"/>
                <a:satMod val="115000"/>
              </a:srgbClr>
            </a:gs>
            <a:gs pos="100000">
              <a:srgbClr val="C21D03">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solidFill>
                <a:srgbClr val="FD5732"/>
              </a:solidFill>
              <a:latin typeface="Arial Black" panose="020B0A04020102020204" pitchFamily="34" charset="0"/>
              <a:ea typeface="+mn-ea"/>
              <a:cs typeface="+mn-cs"/>
            </a:rPr>
            <a:t>Emolyee Information </a:t>
          </a:r>
        </a:p>
      </xdr:txBody>
    </xdr:sp>
    <xdr:clientData/>
  </xdr:twoCellAnchor>
  <xdr:twoCellAnchor>
    <xdr:from>
      <xdr:col>18</xdr:col>
      <xdr:colOff>277091</xdr:colOff>
      <xdr:row>0</xdr:row>
      <xdr:rowOff>0</xdr:rowOff>
    </xdr:from>
    <xdr:to>
      <xdr:col>19</xdr:col>
      <xdr:colOff>597477</xdr:colOff>
      <xdr:row>4</xdr:row>
      <xdr:rowOff>112568</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99A3DB0A-FD90-4B35-B5A0-4539D2B5B76A}"/>
            </a:ext>
          </a:extLst>
        </xdr:cNvPr>
        <xdr:cNvSpPr/>
      </xdr:nvSpPr>
      <xdr:spPr>
        <a:xfrm>
          <a:off x="10581409" y="0"/>
          <a:ext cx="926523" cy="874568"/>
        </a:xfrm>
        <a:prstGeom prst="roundRect">
          <a:avLst>
            <a:gd name="adj" fmla="val 24871"/>
          </a:avLst>
        </a:prstGeom>
        <a:solidFill>
          <a:srgbClr val="00829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marL="0" indent="0" algn="ctr"/>
          <a:r>
            <a:rPr lang="en-US" sz="1400" b="1">
              <a:solidFill>
                <a:srgbClr val="232121"/>
              </a:solidFill>
              <a:latin typeface="+mn-lt"/>
              <a:ea typeface="+mn-ea"/>
              <a:cs typeface="+mn-cs"/>
            </a:rPr>
            <a:t> Back to Home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257175</xdr:colOff>
      <xdr:row>0</xdr:row>
      <xdr:rowOff>0</xdr:rowOff>
    </xdr:from>
    <xdr:to>
      <xdr:col>14</xdr:col>
      <xdr:colOff>57149</xdr:colOff>
      <xdr:row>2</xdr:row>
      <xdr:rowOff>95250</xdr:rowOff>
    </xdr:to>
    <xdr:sp macro="" textlink="">
      <xdr:nvSpPr>
        <xdr:cNvPr id="2" name="Rectangle: Rounded Corners 1">
          <a:extLst>
            <a:ext uri="{FF2B5EF4-FFF2-40B4-BE49-F238E27FC236}">
              <a16:creationId xmlns:a16="http://schemas.microsoft.com/office/drawing/2014/main" id="{43F61F56-6D8D-CFE6-1500-5E354575D7F9}"/>
            </a:ext>
          </a:extLst>
        </xdr:cNvPr>
        <xdr:cNvSpPr/>
      </xdr:nvSpPr>
      <xdr:spPr>
        <a:xfrm>
          <a:off x="1476375" y="0"/>
          <a:ext cx="7115174" cy="476250"/>
        </a:xfrm>
        <a:prstGeom prst="roundRect">
          <a:avLst/>
        </a:prstGeom>
        <a:gradFill flip="none" rotWithShape="1">
          <a:gsLst>
            <a:gs pos="0">
              <a:srgbClr val="C21D03">
                <a:shade val="30000"/>
                <a:satMod val="115000"/>
              </a:srgbClr>
            </a:gs>
            <a:gs pos="50000">
              <a:srgbClr val="C21D03">
                <a:shade val="67500"/>
                <a:satMod val="115000"/>
              </a:srgbClr>
            </a:gs>
            <a:gs pos="100000">
              <a:srgbClr val="C21D03">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solidFill>
                <a:srgbClr val="FD5732"/>
              </a:solidFill>
              <a:latin typeface="Arial Black" panose="020B0A04020102020204" pitchFamily="34" charset="0"/>
              <a:ea typeface="+mn-ea"/>
              <a:cs typeface="+mn-cs"/>
            </a:rPr>
            <a:t>Location</a:t>
          </a:r>
          <a:r>
            <a:rPr lang="en-US" sz="2400" b="1" baseline="0">
              <a:solidFill>
                <a:srgbClr val="FD5732"/>
              </a:solidFill>
              <a:latin typeface="Arial Black" panose="020B0A04020102020204" pitchFamily="34" charset="0"/>
              <a:ea typeface="+mn-ea"/>
              <a:cs typeface="+mn-cs"/>
            </a:rPr>
            <a:t> overview</a:t>
          </a:r>
          <a:endParaRPr lang="en-US" sz="2400" b="1">
            <a:solidFill>
              <a:srgbClr val="FD5732"/>
            </a:solidFill>
            <a:latin typeface="Arial Black" panose="020B0A04020102020204" pitchFamily="34" charset="0"/>
            <a:ea typeface="+mn-ea"/>
            <a:cs typeface="+mn-cs"/>
          </a:endParaRPr>
        </a:p>
      </xdr:txBody>
    </xdr:sp>
    <xdr:clientData/>
  </xdr:twoCellAnchor>
  <xdr:twoCellAnchor>
    <xdr:from>
      <xdr:col>0</xdr:col>
      <xdr:colOff>28574</xdr:colOff>
      <xdr:row>2</xdr:row>
      <xdr:rowOff>114300</xdr:rowOff>
    </xdr:from>
    <xdr:to>
      <xdr:col>1</xdr:col>
      <xdr:colOff>290397</xdr:colOff>
      <xdr:row>23</xdr:row>
      <xdr:rowOff>179294</xdr:rowOff>
    </xdr:to>
    <xdr:sp macro="" textlink="">
      <xdr:nvSpPr>
        <xdr:cNvPr id="3" name="Rectangle: Rounded Corners 2">
          <a:extLst>
            <a:ext uri="{FF2B5EF4-FFF2-40B4-BE49-F238E27FC236}">
              <a16:creationId xmlns:a16="http://schemas.microsoft.com/office/drawing/2014/main" id="{DA969596-3963-4E0F-B94B-893CD80C7D4E}"/>
            </a:ext>
          </a:extLst>
        </xdr:cNvPr>
        <xdr:cNvSpPr/>
      </xdr:nvSpPr>
      <xdr:spPr>
        <a:xfrm>
          <a:off x="28574" y="486007"/>
          <a:ext cx="865847" cy="3967921"/>
        </a:xfrm>
        <a:prstGeom prst="roundRect">
          <a:avLst/>
        </a:prstGeom>
        <a:solidFill>
          <a:srgbClr val="C8C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333375</xdr:colOff>
      <xdr:row>5</xdr:row>
      <xdr:rowOff>171448</xdr:rowOff>
    </xdr:from>
    <xdr:to>
      <xdr:col>5</xdr:col>
      <xdr:colOff>371475</xdr:colOff>
      <xdr:row>14</xdr:row>
      <xdr:rowOff>145676</xdr:rowOff>
    </xdr:to>
    <xdr:sp macro="" textlink="">
      <xdr:nvSpPr>
        <xdr:cNvPr id="4" name="Rectangle: Rounded Corners 3">
          <a:extLst>
            <a:ext uri="{FF2B5EF4-FFF2-40B4-BE49-F238E27FC236}">
              <a16:creationId xmlns:a16="http://schemas.microsoft.com/office/drawing/2014/main" id="{9155B0ED-CAE0-4215-8ADA-26B82EF2D931}"/>
            </a:ext>
          </a:extLst>
        </xdr:cNvPr>
        <xdr:cNvSpPr/>
      </xdr:nvSpPr>
      <xdr:spPr>
        <a:xfrm>
          <a:off x="938493" y="1123948"/>
          <a:ext cx="2458570" cy="1688728"/>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322169</xdr:colOff>
      <xdr:row>15</xdr:row>
      <xdr:rowOff>67235</xdr:rowOff>
    </xdr:from>
    <xdr:to>
      <xdr:col>5</xdr:col>
      <xdr:colOff>360269</xdr:colOff>
      <xdr:row>24</xdr:row>
      <xdr:rowOff>1681</xdr:rowOff>
    </xdr:to>
    <xdr:sp macro="" textlink="">
      <xdr:nvSpPr>
        <xdr:cNvPr id="6" name="Rectangle: Rounded Corners 5">
          <a:extLst>
            <a:ext uri="{FF2B5EF4-FFF2-40B4-BE49-F238E27FC236}">
              <a16:creationId xmlns:a16="http://schemas.microsoft.com/office/drawing/2014/main" id="{A18FD536-46E8-4A7D-AC17-B094F65490C8}"/>
            </a:ext>
          </a:extLst>
        </xdr:cNvPr>
        <xdr:cNvSpPr/>
      </xdr:nvSpPr>
      <xdr:spPr>
        <a:xfrm>
          <a:off x="927287" y="2924735"/>
          <a:ext cx="2458570" cy="1648946"/>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504825</xdr:colOff>
      <xdr:row>5</xdr:row>
      <xdr:rowOff>152399</xdr:rowOff>
    </xdr:from>
    <xdr:to>
      <xdr:col>14</xdr:col>
      <xdr:colOff>38100</xdr:colOff>
      <xdr:row>23</xdr:row>
      <xdr:rowOff>134470</xdr:rowOff>
    </xdr:to>
    <xdr:sp macro="" textlink="">
      <xdr:nvSpPr>
        <xdr:cNvPr id="8" name="Rectangle: Rounded Corners 7">
          <a:extLst>
            <a:ext uri="{FF2B5EF4-FFF2-40B4-BE49-F238E27FC236}">
              <a16:creationId xmlns:a16="http://schemas.microsoft.com/office/drawing/2014/main" id="{50ED55FF-EA8E-4664-9937-4870DCDBA476}"/>
            </a:ext>
          </a:extLst>
        </xdr:cNvPr>
        <xdr:cNvSpPr/>
      </xdr:nvSpPr>
      <xdr:spPr>
        <a:xfrm>
          <a:off x="5969794" y="1104899"/>
          <a:ext cx="2569369" cy="3411071"/>
        </a:xfrm>
        <a:prstGeom prst="roundRect">
          <a:avLst>
            <a:gd name="adj" fmla="val 12052"/>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106456</xdr:colOff>
      <xdr:row>0</xdr:row>
      <xdr:rowOff>0</xdr:rowOff>
    </xdr:from>
    <xdr:to>
      <xdr:col>17</xdr:col>
      <xdr:colOff>516031</xdr:colOff>
      <xdr:row>23</xdr:row>
      <xdr:rowOff>124558</xdr:rowOff>
    </xdr:to>
    <xdr:sp macro="" textlink="">
      <xdr:nvSpPr>
        <xdr:cNvPr id="9" name="Rectangle: Rounded Corners 8">
          <a:extLst>
            <a:ext uri="{FF2B5EF4-FFF2-40B4-BE49-F238E27FC236}">
              <a16:creationId xmlns:a16="http://schemas.microsoft.com/office/drawing/2014/main" id="{838E49CE-21C1-4BAD-851C-C31BFE281727}"/>
            </a:ext>
          </a:extLst>
        </xdr:cNvPr>
        <xdr:cNvSpPr/>
      </xdr:nvSpPr>
      <xdr:spPr>
        <a:xfrm>
          <a:off x="8607519" y="0"/>
          <a:ext cx="2231231" cy="4506058"/>
        </a:xfrm>
        <a:prstGeom prst="roundRect">
          <a:avLst>
            <a:gd name="adj" fmla="val 3691"/>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19048</xdr:colOff>
      <xdr:row>0</xdr:row>
      <xdr:rowOff>0</xdr:rowOff>
    </xdr:from>
    <xdr:to>
      <xdr:col>2</xdr:col>
      <xdr:colOff>238123</xdr:colOff>
      <xdr:row>2</xdr:row>
      <xdr:rowOff>95251</xdr:rowOff>
    </xdr:to>
    <xdr:sp macro="" textlink="">
      <xdr:nvSpPr>
        <xdr:cNvPr id="11" name="Rectangle: Rounded Corners 10">
          <a:extLst>
            <a:ext uri="{FF2B5EF4-FFF2-40B4-BE49-F238E27FC236}">
              <a16:creationId xmlns:a16="http://schemas.microsoft.com/office/drawing/2014/main" id="{83962230-4E2B-47AC-B7F5-729A48844778}"/>
            </a:ext>
          </a:extLst>
        </xdr:cNvPr>
        <xdr:cNvSpPr/>
      </xdr:nvSpPr>
      <xdr:spPr>
        <a:xfrm>
          <a:off x="19048" y="0"/>
          <a:ext cx="1433513" cy="476251"/>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419100</xdr:colOff>
      <xdr:row>5</xdr:row>
      <xdr:rowOff>171449</xdr:rowOff>
    </xdr:from>
    <xdr:to>
      <xdr:col>9</xdr:col>
      <xdr:colOff>457200</xdr:colOff>
      <xdr:row>14</xdr:row>
      <xdr:rowOff>179294</xdr:rowOff>
    </xdr:to>
    <xdr:sp macro="" textlink="">
      <xdr:nvSpPr>
        <xdr:cNvPr id="14" name="Rectangle: Rounded Corners 13">
          <a:extLst>
            <a:ext uri="{FF2B5EF4-FFF2-40B4-BE49-F238E27FC236}">
              <a16:creationId xmlns:a16="http://schemas.microsoft.com/office/drawing/2014/main" id="{AEB46241-6CFC-49C6-9E42-BF387E0F78F3}"/>
            </a:ext>
          </a:extLst>
        </xdr:cNvPr>
        <xdr:cNvSpPr/>
      </xdr:nvSpPr>
      <xdr:spPr>
        <a:xfrm>
          <a:off x="3455194" y="1123949"/>
          <a:ext cx="2466975" cy="1722345"/>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419100</xdr:colOff>
      <xdr:row>15</xdr:row>
      <xdr:rowOff>70175</xdr:rowOff>
    </xdr:from>
    <xdr:to>
      <xdr:col>9</xdr:col>
      <xdr:colOff>457200</xdr:colOff>
      <xdr:row>24</xdr:row>
      <xdr:rowOff>1595</xdr:rowOff>
    </xdr:to>
    <xdr:sp macro="" textlink="">
      <xdr:nvSpPr>
        <xdr:cNvPr id="15" name="Rectangle: Rounded Corners 14">
          <a:extLst>
            <a:ext uri="{FF2B5EF4-FFF2-40B4-BE49-F238E27FC236}">
              <a16:creationId xmlns:a16="http://schemas.microsoft.com/office/drawing/2014/main" id="{F8CFAC5E-0A97-4B4A-BA28-B4148DFACBA2}"/>
            </a:ext>
          </a:extLst>
        </xdr:cNvPr>
        <xdr:cNvSpPr/>
      </xdr:nvSpPr>
      <xdr:spPr>
        <a:xfrm>
          <a:off x="3455194" y="2927675"/>
          <a:ext cx="2466975" cy="1645920"/>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333374</xdr:colOff>
      <xdr:row>2</xdr:row>
      <xdr:rowOff>9523</xdr:rowOff>
    </xdr:from>
    <xdr:to>
      <xdr:col>5</xdr:col>
      <xdr:colOff>47625</xdr:colOff>
      <xdr:row>6</xdr:row>
      <xdr:rowOff>9524</xdr:rowOff>
    </xdr:to>
    <xdr:grpSp>
      <xdr:nvGrpSpPr>
        <xdr:cNvPr id="47" name="Group 46">
          <a:extLst>
            <a:ext uri="{FF2B5EF4-FFF2-40B4-BE49-F238E27FC236}">
              <a16:creationId xmlns:a16="http://schemas.microsoft.com/office/drawing/2014/main" id="{F6037D50-AB43-4B53-76FF-35EBFA7362F6}"/>
            </a:ext>
          </a:extLst>
        </xdr:cNvPr>
        <xdr:cNvGrpSpPr/>
      </xdr:nvGrpSpPr>
      <xdr:grpSpPr>
        <a:xfrm>
          <a:off x="940593" y="390523"/>
          <a:ext cx="2143126" cy="762001"/>
          <a:chOff x="942974" y="400049"/>
          <a:chExt cx="2152651" cy="762001"/>
        </a:xfrm>
      </xdr:grpSpPr>
      <xdr:sp macro="" textlink="">
        <xdr:nvSpPr>
          <xdr:cNvPr id="12" name="Rectangle: Rounded Corners 11">
            <a:extLst>
              <a:ext uri="{FF2B5EF4-FFF2-40B4-BE49-F238E27FC236}">
                <a16:creationId xmlns:a16="http://schemas.microsoft.com/office/drawing/2014/main" id="{188DA08C-1319-4D16-8C74-81456028C298}"/>
              </a:ext>
            </a:extLst>
          </xdr:cNvPr>
          <xdr:cNvSpPr/>
        </xdr:nvSpPr>
        <xdr:spPr>
          <a:xfrm>
            <a:off x="942974" y="514349"/>
            <a:ext cx="1933575" cy="552451"/>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55D88597-6474-4D6C-A293-D778B5C7EBB8}"/>
              </a:ext>
            </a:extLst>
          </xdr:cNvPr>
          <xdr:cNvSpPr/>
        </xdr:nvSpPr>
        <xdr:spPr>
          <a:xfrm>
            <a:off x="1362076" y="523874"/>
            <a:ext cx="1057274"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Employee</a:t>
            </a:r>
            <a:r>
              <a:rPr lang="en-US" sz="1200" b="1" baseline="0"/>
              <a:t> preformance</a:t>
            </a:r>
            <a:endParaRPr lang="en-US" sz="1200" b="1"/>
          </a:p>
        </xdr:txBody>
      </xdr:sp>
      <xdr:pic>
        <xdr:nvPicPr>
          <xdr:cNvPr id="26" name="Picture 25">
            <a:extLst>
              <a:ext uri="{FF2B5EF4-FFF2-40B4-BE49-F238E27FC236}">
                <a16:creationId xmlns:a16="http://schemas.microsoft.com/office/drawing/2014/main" id="{1E1D35CD-C249-EBB1-7DD4-C19722871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125" y="552450"/>
            <a:ext cx="428014" cy="428014"/>
          </a:xfrm>
          <a:prstGeom prst="rect">
            <a:avLst/>
          </a:prstGeom>
        </xdr:spPr>
      </xdr:pic>
      <xdr:sp macro="" textlink="$U$5">
        <xdr:nvSpPr>
          <xdr:cNvPr id="27" name="Oval 26">
            <a:extLst>
              <a:ext uri="{FF2B5EF4-FFF2-40B4-BE49-F238E27FC236}">
                <a16:creationId xmlns:a16="http://schemas.microsoft.com/office/drawing/2014/main" id="{50D702D3-C85F-5881-981A-13FA48FFA5A7}"/>
              </a:ext>
            </a:extLst>
          </xdr:cNvPr>
          <xdr:cNvSpPr/>
        </xdr:nvSpPr>
        <xdr:spPr>
          <a:xfrm>
            <a:off x="2095499" y="400049"/>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18272B-25F0-41C7-93AC-1C95DA52378F}" type="TxLink">
              <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algn="ctr"/>
              <a:t>-11%</a:t>
            </a:fld>
            <a:endParaRPr lang="en-US"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grpSp>
    <xdr:clientData/>
  </xdr:twoCellAnchor>
  <xdr:twoCellAnchor>
    <xdr:from>
      <xdr:col>5</xdr:col>
      <xdr:colOff>25400</xdr:colOff>
      <xdr:row>2</xdr:row>
      <xdr:rowOff>38098</xdr:rowOff>
    </xdr:from>
    <xdr:to>
      <xdr:col>8</xdr:col>
      <xdr:colOff>69696</xdr:colOff>
      <xdr:row>6</xdr:row>
      <xdr:rowOff>38099</xdr:rowOff>
    </xdr:to>
    <xdr:grpSp>
      <xdr:nvGrpSpPr>
        <xdr:cNvPr id="46" name="Group 45">
          <a:extLst>
            <a:ext uri="{FF2B5EF4-FFF2-40B4-BE49-F238E27FC236}">
              <a16:creationId xmlns:a16="http://schemas.microsoft.com/office/drawing/2014/main" id="{6380CB15-572F-D25C-F7B0-4E73A7A32956}"/>
            </a:ext>
          </a:extLst>
        </xdr:cNvPr>
        <xdr:cNvGrpSpPr/>
      </xdr:nvGrpSpPr>
      <xdr:grpSpPr>
        <a:xfrm>
          <a:off x="3061494" y="419098"/>
          <a:ext cx="1865952" cy="762001"/>
          <a:chOff x="2924175" y="428623"/>
          <a:chExt cx="1872488" cy="762001"/>
        </a:xfrm>
      </xdr:grpSpPr>
      <xdr:sp macro="" textlink="">
        <xdr:nvSpPr>
          <xdr:cNvPr id="16" name="Rectangle: Rounded Corners 15">
            <a:extLst>
              <a:ext uri="{FF2B5EF4-FFF2-40B4-BE49-F238E27FC236}">
                <a16:creationId xmlns:a16="http://schemas.microsoft.com/office/drawing/2014/main" id="{80D59F02-B88E-4C05-BEC8-981F51BD6EBD}"/>
              </a:ext>
            </a:extLst>
          </xdr:cNvPr>
          <xdr:cNvSpPr/>
        </xdr:nvSpPr>
        <xdr:spPr>
          <a:xfrm>
            <a:off x="2924175" y="514348"/>
            <a:ext cx="1771650" cy="548640"/>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Rectangle: Rounded Corners 27">
            <a:extLst>
              <a:ext uri="{FF2B5EF4-FFF2-40B4-BE49-F238E27FC236}">
                <a16:creationId xmlns:a16="http://schemas.microsoft.com/office/drawing/2014/main" id="{A3017711-79A0-479F-952F-83158EE50B1B}"/>
              </a:ext>
            </a:extLst>
          </xdr:cNvPr>
          <xdr:cNvSpPr/>
        </xdr:nvSpPr>
        <xdr:spPr>
          <a:xfrm>
            <a:off x="3381375" y="533398"/>
            <a:ext cx="1057274"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a:t>
            </a:r>
            <a:br>
              <a:rPr lang="en-US" sz="1200" b="1" baseline="0"/>
            </a:br>
            <a:r>
              <a:rPr lang="en-US" sz="1200" b="1" baseline="0"/>
              <a:t>Salary</a:t>
            </a:r>
            <a:endParaRPr lang="en-US" sz="1200" b="1"/>
          </a:p>
        </xdr:txBody>
      </xdr:sp>
      <xdr:pic>
        <xdr:nvPicPr>
          <xdr:cNvPr id="30" name="Picture 29">
            <a:extLst>
              <a:ext uri="{FF2B5EF4-FFF2-40B4-BE49-F238E27FC236}">
                <a16:creationId xmlns:a16="http://schemas.microsoft.com/office/drawing/2014/main" id="{BA9580D7-B97D-CD77-2246-0D49B5BBC7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9900" y="581025"/>
            <a:ext cx="428625" cy="428625"/>
          </a:xfrm>
          <a:prstGeom prst="rect">
            <a:avLst/>
          </a:prstGeom>
        </xdr:spPr>
      </xdr:pic>
      <xdr:sp macro="" textlink="$U$6">
        <xdr:nvSpPr>
          <xdr:cNvPr id="31" name="Oval 30">
            <a:extLst>
              <a:ext uri="{FF2B5EF4-FFF2-40B4-BE49-F238E27FC236}">
                <a16:creationId xmlns:a16="http://schemas.microsoft.com/office/drawing/2014/main" id="{ACACD4CE-86D1-419D-8536-892DF2DDB611}"/>
              </a:ext>
            </a:extLst>
          </xdr:cNvPr>
          <xdr:cNvSpPr/>
        </xdr:nvSpPr>
        <xdr:spPr>
          <a:xfrm>
            <a:off x="3867150" y="428623"/>
            <a:ext cx="929513"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8E01A60-925B-4370-83F7-342B1CE13A8B}" type="TxLink">
              <a:rPr lang="en-US" sz="1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marL="0" indent="0" algn="ctr"/>
              <a:t>13.2k</a:t>
            </a:fld>
            <a:endParaRPr lang="en-US" sz="1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endParaRPr>
          </a:p>
        </xdr:txBody>
      </xdr:sp>
    </xdr:grpSp>
    <xdr:clientData/>
  </xdr:twoCellAnchor>
  <xdr:twoCellAnchor>
    <xdr:from>
      <xdr:col>8</xdr:col>
      <xdr:colOff>117476</xdr:colOff>
      <xdr:row>2</xdr:row>
      <xdr:rowOff>28573</xdr:rowOff>
    </xdr:from>
    <xdr:to>
      <xdr:col>11</xdr:col>
      <xdr:colOff>231776</xdr:colOff>
      <xdr:row>6</xdr:row>
      <xdr:rowOff>28574</xdr:rowOff>
    </xdr:to>
    <xdr:grpSp>
      <xdr:nvGrpSpPr>
        <xdr:cNvPr id="45" name="Group 44">
          <a:extLst>
            <a:ext uri="{FF2B5EF4-FFF2-40B4-BE49-F238E27FC236}">
              <a16:creationId xmlns:a16="http://schemas.microsoft.com/office/drawing/2014/main" id="{D88217BF-2E24-1C37-8778-2C6E0F0D6117}"/>
            </a:ext>
          </a:extLst>
        </xdr:cNvPr>
        <xdr:cNvGrpSpPr/>
      </xdr:nvGrpSpPr>
      <xdr:grpSpPr>
        <a:xfrm>
          <a:off x="4975226" y="409573"/>
          <a:ext cx="1935956" cy="762001"/>
          <a:chOff x="4743451" y="409575"/>
          <a:chExt cx="1943100" cy="762001"/>
        </a:xfrm>
      </xdr:grpSpPr>
      <xdr:sp macro="" textlink="">
        <xdr:nvSpPr>
          <xdr:cNvPr id="17" name="Rectangle: Rounded Corners 16">
            <a:extLst>
              <a:ext uri="{FF2B5EF4-FFF2-40B4-BE49-F238E27FC236}">
                <a16:creationId xmlns:a16="http://schemas.microsoft.com/office/drawing/2014/main" id="{74FA01CE-43D8-4563-B048-9D28B02E0164}"/>
              </a:ext>
            </a:extLst>
          </xdr:cNvPr>
          <xdr:cNvSpPr/>
        </xdr:nvSpPr>
        <xdr:spPr>
          <a:xfrm>
            <a:off x="4758308" y="504823"/>
            <a:ext cx="1728217" cy="548640"/>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33" name="Picture 32">
            <a:extLst>
              <a:ext uri="{FF2B5EF4-FFF2-40B4-BE49-F238E27FC236}">
                <a16:creationId xmlns:a16="http://schemas.microsoft.com/office/drawing/2014/main" id="{AB11EEB8-9AC8-D15E-2545-043847BF52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43451" y="534081"/>
            <a:ext cx="514350" cy="514350"/>
          </a:xfrm>
          <a:prstGeom prst="rect">
            <a:avLst/>
          </a:prstGeom>
        </xdr:spPr>
      </xdr:pic>
      <xdr:sp macro="" textlink="">
        <xdr:nvSpPr>
          <xdr:cNvPr id="34" name="Rectangle: Rounded Corners 33">
            <a:extLst>
              <a:ext uri="{FF2B5EF4-FFF2-40B4-BE49-F238E27FC236}">
                <a16:creationId xmlns:a16="http://schemas.microsoft.com/office/drawing/2014/main" id="{694B8F84-01FD-4B45-85F4-6906F3995144}"/>
              </a:ext>
            </a:extLst>
          </xdr:cNvPr>
          <xdr:cNvSpPr/>
        </xdr:nvSpPr>
        <xdr:spPr>
          <a:xfrm>
            <a:off x="5139309" y="523873"/>
            <a:ext cx="1057274"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a:t>
            </a:r>
            <a:br>
              <a:rPr lang="en-US" sz="1200" b="1" baseline="0"/>
            </a:br>
            <a:r>
              <a:rPr lang="en-US" sz="1200" b="1" baseline="0"/>
              <a:t>Experince</a:t>
            </a:r>
            <a:endParaRPr lang="en-US" sz="1200" b="1"/>
          </a:p>
        </xdr:txBody>
      </xdr:sp>
      <xdr:sp macro="" textlink="$U$7">
        <xdr:nvSpPr>
          <xdr:cNvPr id="35" name="Oval 34">
            <a:extLst>
              <a:ext uri="{FF2B5EF4-FFF2-40B4-BE49-F238E27FC236}">
                <a16:creationId xmlns:a16="http://schemas.microsoft.com/office/drawing/2014/main" id="{B95A9041-9881-46D0-BA94-006863FCA7B8}"/>
              </a:ext>
            </a:extLst>
          </xdr:cNvPr>
          <xdr:cNvSpPr/>
        </xdr:nvSpPr>
        <xdr:spPr>
          <a:xfrm>
            <a:off x="5686425" y="409575"/>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DE5689-C6E2-4597-A2FE-0CCE485F716A}" type="TxLink">
              <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marL="0" indent="0" algn="ctr"/>
              <a:t>14.8</a:t>
            </a:fld>
            <a:endPar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endParaRPr>
          </a:p>
        </xdr:txBody>
      </xdr:sp>
    </xdr:grpSp>
    <xdr:clientData/>
  </xdr:twoCellAnchor>
  <xdr:twoCellAnchor>
    <xdr:from>
      <xdr:col>11</xdr:col>
      <xdr:colOff>209551</xdr:colOff>
      <xdr:row>2</xdr:row>
      <xdr:rowOff>22223</xdr:rowOff>
    </xdr:from>
    <xdr:to>
      <xdr:col>14</xdr:col>
      <xdr:colOff>285753</xdr:colOff>
      <xdr:row>6</xdr:row>
      <xdr:rowOff>22224</xdr:rowOff>
    </xdr:to>
    <xdr:grpSp>
      <xdr:nvGrpSpPr>
        <xdr:cNvPr id="43" name="Group 42">
          <a:extLst>
            <a:ext uri="{FF2B5EF4-FFF2-40B4-BE49-F238E27FC236}">
              <a16:creationId xmlns:a16="http://schemas.microsoft.com/office/drawing/2014/main" id="{D604528B-DC57-C59B-26E2-4D5C20A7118D}"/>
            </a:ext>
          </a:extLst>
        </xdr:cNvPr>
        <xdr:cNvGrpSpPr/>
      </xdr:nvGrpSpPr>
      <xdr:grpSpPr>
        <a:xfrm>
          <a:off x="6888957" y="403223"/>
          <a:ext cx="1897859" cy="762001"/>
          <a:chOff x="6515100" y="403223"/>
          <a:chExt cx="1904338" cy="762001"/>
        </a:xfrm>
      </xdr:grpSpPr>
      <xdr:sp macro="" textlink="">
        <xdr:nvSpPr>
          <xdr:cNvPr id="18" name="Rectangle: Rounded Corners 17">
            <a:extLst>
              <a:ext uri="{FF2B5EF4-FFF2-40B4-BE49-F238E27FC236}">
                <a16:creationId xmlns:a16="http://schemas.microsoft.com/office/drawing/2014/main" id="{092D7FB3-F019-4699-9F77-1E8A5AB822BF}"/>
              </a:ext>
            </a:extLst>
          </xdr:cNvPr>
          <xdr:cNvSpPr/>
        </xdr:nvSpPr>
        <xdr:spPr>
          <a:xfrm>
            <a:off x="6515100" y="504823"/>
            <a:ext cx="1676400" cy="548640"/>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39" name="Picture 38">
            <a:extLst>
              <a:ext uri="{FF2B5EF4-FFF2-40B4-BE49-F238E27FC236}">
                <a16:creationId xmlns:a16="http://schemas.microsoft.com/office/drawing/2014/main" id="{0B848FC8-ECCC-55AD-45A5-CD316248C17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43676" y="590550"/>
            <a:ext cx="335096" cy="335096"/>
          </a:xfrm>
          <a:prstGeom prst="rect">
            <a:avLst/>
          </a:prstGeom>
        </xdr:spPr>
      </xdr:pic>
      <xdr:sp macro="" textlink="">
        <xdr:nvSpPr>
          <xdr:cNvPr id="41" name="Rectangle: Rounded Corners 40">
            <a:extLst>
              <a:ext uri="{FF2B5EF4-FFF2-40B4-BE49-F238E27FC236}">
                <a16:creationId xmlns:a16="http://schemas.microsoft.com/office/drawing/2014/main" id="{F666FCA9-64DB-479C-8429-868D2AC042FB}"/>
              </a:ext>
            </a:extLst>
          </xdr:cNvPr>
          <xdr:cNvSpPr/>
        </xdr:nvSpPr>
        <xdr:spPr>
          <a:xfrm>
            <a:off x="6857999" y="523873"/>
            <a:ext cx="923925"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baseline="0">
                <a:solidFill>
                  <a:schemeClr val="lt1"/>
                </a:solidFill>
                <a:effectLst/>
                <a:latin typeface="+mn-lt"/>
                <a:ea typeface="+mn-ea"/>
                <a:cs typeface="+mn-cs"/>
              </a:rPr>
              <a:t>High potentials</a:t>
            </a:r>
            <a:endParaRPr lang="en-US" sz="1400" b="1" baseline="0">
              <a:solidFill>
                <a:schemeClr val="lt1"/>
              </a:solidFill>
              <a:latin typeface="+mn-lt"/>
              <a:ea typeface="+mn-ea"/>
              <a:cs typeface="+mn-cs"/>
            </a:endParaRPr>
          </a:p>
        </xdr:txBody>
      </xdr:sp>
      <xdr:sp macro="" textlink="$U$8">
        <xdr:nvSpPr>
          <xdr:cNvPr id="42" name="Oval 41">
            <a:extLst>
              <a:ext uri="{FF2B5EF4-FFF2-40B4-BE49-F238E27FC236}">
                <a16:creationId xmlns:a16="http://schemas.microsoft.com/office/drawing/2014/main" id="{B0CBE087-165F-4352-B473-9AFBCD802C68}"/>
              </a:ext>
            </a:extLst>
          </xdr:cNvPr>
          <xdr:cNvSpPr/>
        </xdr:nvSpPr>
        <xdr:spPr>
          <a:xfrm>
            <a:off x="7419312" y="403223"/>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CC8DCE6-2CB7-40D2-A477-5FA7A4019801}" type="TxLink">
              <a:rPr lang="en-US" sz="2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marL="0" indent="0" algn="ctr"/>
              <a:t>29</a:t>
            </a:fld>
            <a:endParaRPr lang="en-US" sz="2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endParaRPr>
          </a:p>
        </xdr:txBody>
      </xdr:sp>
    </xdr:grpSp>
    <xdr:clientData/>
  </xdr:twoCellAnchor>
  <xdr:twoCellAnchor editAs="oneCell">
    <xdr:from>
      <xdr:col>0</xdr:col>
      <xdr:colOff>1</xdr:colOff>
      <xdr:row>0</xdr:row>
      <xdr:rowOff>50005</xdr:rowOff>
    </xdr:from>
    <xdr:to>
      <xdr:col>2</xdr:col>
      <xdr:colOff>202406</xdr:colOff>
      <xdr:row>2</xdr:row>
      <xdr:rowOff>71437</xdr:rowOff>
    </xdr:to>
    <xdr:pic>
      <xdr:nvPicPr>
        <xdr:cNvPr id="50" name="Picture 49">
          <a:extLst>
            <a:ext uri="{FF2B5EF4-FFF2-40B4-BE49-F238E27FC236}">
              <a16:creationId xmlns:a16="http://schemas.microsoft.com/office/drawing/2014/main" id="{6FA42F61-02AC-1C34-81AD-C789F1DA53AF}"/>
            </a:ext>
          </a:extLst>
        </xdr:cNvPr>
        <xdr:cNvPicPr>
          <a:picLocks noChangeAspect="1"/>
        </xdr:cNvPicPr>
      </xdr:nvPicPr>
      <xdr:blipFill rotWithShape="1">
        <a:blip xmlns:r="http://schemas.openxmlformats.org/officeDocument/2006/relationships" r:embed="rId5"/>
        <a:srcRect l="6673" t="39167" r="7609" b="34167"/>
        <a:stretch>
          <a:fillRect/>
        </a:stretch>
      </xdr:blipFill>
      <xdr:spPr>
        <a:xfrm>
          <a:off x="1" y="50005"/>
          <a:ext cx="1416843" cy="402432"/>
        </a:xfrm>
        <a:prstGeom prst="rect">
          <a:avLst/>
        </a:prstGeom>
      </xdr:spPr>
    </xdr:pic>
    <xdr:clientData/>
  </xdr:twoCellAnchor>
  <xdr:twoCellAnchor>
    <xdr:from>
      <xdr:col>1</xdr:col>
      <xdr:colOff>59530</xdr:colOff>
      <xdr:row>5</xdr:row>
      <xdr:rowOff>119062</xdr:rowOff>
    </xdr:from>
    <xdr:to>
      <xdr:col>5</xdr:col>
      <xdr:colOff>369093</xdr:colOff>
      <xdr:row>14</xdr:row>
      <xdr:rowOff>126066</xdr:rowOff>
    </xdr:to>
    <xdr:graphicFrame macro="">
      <xdr:nvGraphicFramePr>
        <xdr:cNvPr id="51" name="Chart 50">
          <a:extLst>
            <a:ext uri="{FF2B5EF4-FFF2-40B4-BE49-F238E27FC236}">
              <a16:creationId xmlns:a16="http://schemas.microsoft.com/office/drawing/2014/main" id="{2D6F7AA0-B425-4045-BBD5-FF38C70D9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440532</xdr:colOff>
      <xdr:row>14</xdr:row>
      <xdr:rowOff>190499</xdr:rowOff>
    </xdr:from>
    <xdr:to>
      <xdr:col>10</xdr:col>
      <xdr:colOff>333376</xdr:colOff>
      <xdr:row>24</xdr:row>
      <xdr:rowOff>23812</xdr:rowOff>
    </xdr:to>
    <xdr:graphicFrame macro="">
      <xdr:nvGraphicFramePr>
        <xdr:cNvPr id="13" name="Chart 12">
          <a:extLst>
            <a:ext uri="{FF2B5EF4-FFF2-40B4-BE49-F238E27FC236}">
              <a16:creationId xmlns:a16="http://schemas.microsoft.com/office/drawing/2014/main" id="{87CA42EF-8C08-4790-A5BE-BCC4CC578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309562</xdr:colOff>
      <xdr:row>15</xdr:row>
      <xdr:rowOff>71437</xdr:rowOff>
    </xdr:from>
    <xdr:to>
      <xdr:col>5</xdr:col>
      <xdr:colOff>404813</xdr:colOff>
      <xdr:row>23</xdr:row>
      <xdr:rowOff>190498</xdr:rowOff>
    </xdr:to>
    <xdr:graphicFrame macro="">
      <xdr:nvGraphicFramePr>
        <xdr:cNvPr id="21" name="Chart 20">
          <a:extLst>
            <a:ext uri="{FF2B5EF4-FFF2-40B4-BE49-F238E27FC236}">
              <a16:creationId xmlns:a16="http://schemas.microsoft.com/office/drawing/2014/main" id="{272E35A0-9131-4428-B4AE-1FF10815F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48324</xdr:colOff>
      <xdr:row>2</xdr:row>
      <xdr:rowOff>142875</xdr:rowOff>
    </xdr:from>
    <xdr:to>
      <xdr:col>1</xdr:col>
      <xdr:colOff>245828</xdr:colOff>
      <xdr:row>6</xdr:row>
      <xdr:rowOff>23812</xdr:rowOff>
    </xdr:to>
    <xdr:sp macro="" textlink="">
      <xdr:nvSpPr>
        <xdr:cNvPr id="23" name="Rectangle: Rounded Corners 22">
          <a:extLst>
            <a:ext uri="{FF2B5EF4-FFF2-40B4-BE49-F238E27FC236}">
              <a16:creationId xmlns:a16="http://schemas.microsoft.com/office/drawing/2014/main" id="{7E6F6671-2E58-44D9-8097-F87A8B09562E}"/>
            </a:ext>
          </a:extLst>
        </xdr:cNvPr>
        <xdr:cNvSpPr/>
      </xdr:nvSpPr>
      <xdr:spPr>
        <a:xfrm>
          <a:off x="48324" y="523875"/>
          <a:ext cx="804723" cy="642937"/>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rgbClr val="232121"/>
              </a:solidFill>
              <a:latin typeface="+mn-lt"/>
              <a:ea typeface="+mn-ea"/>
              <a:cs typeface="+mn-cs"/>
            </a:rPr>
            <a:t>Date</a:t>
          </a:r>
        </a:p>
        <a:p>
          <a:pPr marL="0" indent="0" algn="ctr"/>
          <a:r>
            <a:rPr lang="en-US" sz="1200" b="1">
              <a:solidFill>
                <a:srgbClr val="232121"/>
              </a:solidFill>
              <a:latin typeface="+mn-lt"/>
              <a:ea typeface="+mn-ea"/>
              <a:cs typeface="+mn-cs"/>
            </a:rPr>
            <a:t>18/6/25</a:t>
          </a:r>
        </a:p>
        <a:p>
          <a:pPr marL="0" indent="0" algn="ctr"/>
          <a:endParaRPr lang="en-US" sz="1200" b="1">
            <a:solidFill>
              <a:srgbClr val="232121"/>
            </a:solidFill>
            <a:latin typeface="+mn-lt"/>
            <a:ea typeface="+mn-ea"/>
            <a:cs typeface="+mn-cs"/>
          </a:endParaRPr>
        </a:p>
        <a:p>
          <a:pPr marL="0" indent="0" algn="ctr"/>
          <a:endParaRPr lang="en-US" sz="1200" b="1">
            <a:solidFill>
              <a:srgbClr val="232121"/>
            </a:solidFill>
            <a:latin typeface="+mn-lt"/>
            <a:ea typeface="+mn-ea"/>
            <a:cs typeface="+mn-cs"/>
          </a:endParaRPr>
        </a:p>
      </xdr:txBody>
    </xdr:sp>
    <xdr:clientData/>
  </xdr:twoCellAnchor>
  <xdr:twoCellAnchor editAs="oneCell">
    <xdr:from>
      <xdr:col>14</xdr:col>
      <xdr:colOff>169849</xdr:colOff>
      <xdr:row>12</xdr:row>
      <xdr:rowOff>97851</xdr:rowOff>
    </xdr:from>
    <xdr:to>
      <xdr:col>17</xdr:col>
      <xdr:colOff>480332</xdr:colOff>
      <xdr:row>23</xdr:row>
      <xdr:rowOff>66675</xdr:rowOff>
    </xdr:to>
    <mc:AlternateContent xmlns:mc="http://schemas.openxmlformats.org/markup-compatibility/2006" xmlns:a14="http://schemas.microsoft.com/office/drawing/2010/main">
      <mc:Choice Requires="a14">
        <xdr:graphicFrame macro="">
          <xdr:nvGraphicFramePr>
            <xdr:cNvPr id="24" name="الوظيفة 1">
              <a:extLst>
                <a:ext uri="{FF2B5EF4-FFF2-40B4-BE49-F238E27FC236}">
                  <a16:creationId xmlns:a16="http://schemas.microsoft.com/office/drawing/2014/main" id="{A5118B59-02FA-4EEE-AD8C-D84E471306EA}"/>
                </a:ext>
              </a:extLst>
            </xdr:cNvPr>
            <xdr:cNvGraphicFramePr/>
          </xdr:nvGraphicFramePr>
          <xdr:xfrm>
            <a:off x="0" y="0"/>
            <a:ext cx="0" cy="0"/>
          </xdr:xfrm>
          <a:graphic>
            <a:graphicData uri="http://schemas.microsoft.com/office/drawing/2010/slicer">
              <sle:slicer xmlns:sle="http://schemas.microsoft.com/office/drawing/2010/slicer" name="الوظيفة 1"/>
            </a:graphicData>
          </a:graphic>
        </xdr:graphicFrame>
      </mc:Choice>
      <mc:Fallback xmlns="">
        <xdr:sp macro="" textlink="">
          <xdr:nvSpPr>
            <xdr:cNvPr id="0" name=""/>
            <xdr:cNvSpPr>
              <a:spLocks noTextEdit="1"/>
            </xdr:cNvSpPr>
          </xdr:nvSpPr>
          <xdr:spPr>
            <a:xfrm>
              <a:off x="8626190" y="2328095"/>
              <a:ext cx="2122557" cy="2013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156882</xdr:colOff>
      <xdr:row>6</xdr:row>
      <xdr:rowOff>58273</xdr:rowOff>
    </xdr:from>
    <xdr:to>
      <xdr:col>17</xdr:col>
      <xdr:colOff>470646</xdr:colOff>
      <xdr:row>12</xdr:row>
      <xdr:rowOff>90769</xdr:rowOff>
    </xdr:to>
    <mc:AlternateContent xmlns:mc="http://schemas.openxmlformats.org/markup-compatibility/2006" xmlns:a14="http://schemas.microsoft.com/office/drawing/2010/main">
      <mc:Choice Requires="a14">
        <xdr:graphicFrame macro="">
          <xdr:nvGraphicFramePr>
            <xdr:cNvPr id="25" name="الموقع 1">
              <a:extLst>
                <a:ext uri="{FF2B5EF4-FFF2-40B4-BE49-F238E27FC236}">
                  <a16:creationId xmlns:a16="http://schemas.microsoft.com/office/drawing/2014/main" id="{0D9098B2-375A-4EDF-A51A-E32C46F645FC}"/>
                </a:ext>
              </a:extLst>
            </xdr:cNvPr>
            <xdr:cNvGraphicFramePr/>
          </xdr:nvGraphicFramePr>
          <xdr:xfrm>
            <a:off x="0" y="0"/>
            <a:ext cx="0" cy="0"/>
          </xdr:xfrm>
          <a:graphic>
            <a:graphicData uri="http://schemas.microsoft.com/office/drawing/2010/slicer">
              <sle:slicer xmlns:sle="http://schemas.microsoft.com/office/drawing/2010/slicer" name="الموقع 1"/>
            </a:graphicData>
          </a:graphic>
        </xdr:graphicFrame>
      </mc:Choice>
      <mc:Fallback xmlns="">
        <xdr:sp macro="" textlink="">
          <xdr:nvSpPr>
            <xdr:cNvPr id="0" name=""/>
            <xdr:cNvSpPr>
              <a:spLocks noTextEdit="1"/>
            </xdr:cNvSpPr>
          </xdr:nvSpPr>
          <xdr:spPr>
            <a:xfrm>
              <a:off x="8613223" y="1173395"/>
              <a:ext cx="2125838" cy="1147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168088</xdr:colOff>
      <xdr:row>0</xdr:row>
      <xdr:rowOff>31938</xdr:rowOff>
    </xdr:from>
    <xdr:to>
      <xdr:col>17</xdr:col>
      <xdr:colOff>470647</xdr:colOff>
      <xdr:row>6</xdr:row>
      <xdr:rowOff>47626</xdr:rowOff>
    </xdr:to>
    <mc:AlternateContent xmlns:mc="http://schemas.openxmlformats.org/markup-compatibility/2006" xmlns:a14="http://schemas.microsoft.com/office/drawing/2010/main">
      <mc:Choice Requires="a14">
        <xdr:graphicFrame macro="">
          <xdr:nvGraphicFramePr>
            <xdr:cNvPr id="29" name="المؤهل الدراسي 1">
              <a:extLst>
                <a:ext uri="{FF2B5EF4-FFF2-40B4-BE49-F238E27FC236}">
                  <a16:creationId xmlns:a16="http://schemas.microsoft.com/office/drawing/2014/main" id="{FFA8AA6F-8882-4832-A8C6-A64AE4161174}"/>
                </a:ext>
              </a:extLst>
            </xdr:cNvPr>
            <xdr:cNvGraphicFramePr/>
          </xdr:nvGraphicFramePr>
          <xdr:xfrm>
            <a:off x="0" y="0"/>
            <a:ext cx="0" cy="0"/>
          </xdr:xfrm>
          <a:graphic>
            <a:graphicData uri="http://schemas.microsoft.com/office/drawing/2010/slicer">
              <sle:slicer xmlns:sle="http://schemas.microsoft.com/office/drawing/2010/slicer" name="المؤهل الدراسي 1"/>
            </a:graphicData>
          </a:graphic>
        </xdr:graphicFrame>
      </mc:Choice>
      <mc:Fallback xmlns="">
        <xdr:sp macro="" textlink="">
          <xdr:nvSpPr>
            <xdr:cNvPr id="0" name=""/>
            <xdr:cNvSpPr>
              <a:spLocks noTextEdit="1"/>
            </xdr:cNvSpPr>
          </xdr:nvSpPr>
          <xdr:spPr>
            <a:xfrm>
              <a:off x="8803622" y="31937"/>
              <a:ext cx="1835103" cy="1234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440531</xdr:colOff>
      <xdr:row>5</xdr:row>
      <xdr:rowOff>130969</xdr:rowOff>
    </xdr:from>
    <xdr:to>
      <xdr:col>9</xdr:col>
      <xdr:colOff>440531</xdr:colOff>
      <xdr:row>14</xdr:row>
      <xdr:rowOff>119063</xdr:rowOff>
    </xdr:to>
    <xdr:graphicFrame macro="">
      <xdr:nvGraphicFramePr>
        <xdr:cNvPr id="7" name="Chart 6">
          <a:extLst>
            <a:ext uri="{FF2B5EF4-FFF2-40B4-BE49-F238E27FC236}">
              <a16:creationId xmlns:a16="http://schemas.microsoft.com/office/drawing/2014/main" id="{70209D7C-F1FE-4D4A-BFD8-03CB28916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504825</xdr:colOff>
      <xdr:row>5</xdr:row>
      <xdr:rowOff>152398</xdr:rowOff>
    </xdr:from>
    <xdr:to>
      <xdr:col>13</xdr:col>
      <xdr:colOff>583406</xdr:colOff>
      <xdr:row>23</xdr:row>
      <xdr:rowOff>71437</xdr:rowOff>
    </xdr:to>
    <xdr:graphicFrame macro="">
      <xdr:nvGraphicFramePr>
        <xdr:cNvPr id="10" name="Chart 9">
          <a:extLst>
            <a:ext uri="{FF2B5EF4-FFF2-40B4-BE49-F238E27FC236}">
              <a16:creationId xmlns:a16="http://schemas.microsoft.com/office/drawing/2014/main" id="{3CCC8EF6-402C-4906-BAF8-9296F362D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59533</xdr:colOff>
      <xdr:row>12</xdr:row>
      <xdr:rowOff>145405</xdr:rowOff>
    </xdr:from>
    <xdr:to>
      <xdr:col>1</xdr:col>
      <xdr:colOff>238127</xdr:colOff>
      <xdr:row>16</xdr:row>
      <xdr:rowOff>152168</xdr:rowOff>
    </xdr:to>
    <xdr:pic>
      <xdr:nvPicPr>
        <xdr:cNvPr id="38" name="Picture 37">
          <a:extLst>
            <a:ext uri="{FF2B5EF4-FFF2-40B4-BE49-F238E27FC236}">
              <a16:creationId xmlns:a16="http://schemas.microsoft.com/office/drawing/2014/main" id="{FD5E0F05-9B5D-096F-8FCA-04AB3137CCE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9533" y="2375649"/>
          <a:ext cx="782618" cy="750178"/>
        </a:xfrm>
        <a:prstGeom prst="rect">
          <a:avLst/>
        </a:prstGeom>
      </xdr:spPr>
    </xdr:pic>
    <xdr:clientData/>
  </xdr:twoCellAnchor>
  <xdr:twoCellAnchor>
    <xdr:from>
      <xdr:col>0</xdr:col>
      <xdr:colOff>58081</xdr:colOff>
      <xdr:row>18</xdr:row>
      <xdr:rowOff>23230</xdr:rowOff>
    </xdr:from>
    <xdr:to>
      <xdr:col>1</xdr:col>
      <xdr:colOff>267167</xdr:colOff>
      <xdr:row>23</xdr:row>
      <xdr:rowOff>116157</xdr:rowOff>
    </xdr:to>
    <xdr:sp macro="" textlink="">
      <xdr:nvSpPr>
        <xdr:cNvPr id="5" name="Rectangle: Rounded Corners 4">
          <a:hlinkClick xmlns:r="http://schemas.openxmlformats.org/officeDocument/2006/relationships" r:id="rId12"/>
          <a:extLst>
            <a:ext uri="{FF2B5EF4-FFF2-40B4-BE49-F238E27FC236}">
              <a16:creationId xmlns:a16="http://schemas.microsoft.com/office/drawing/2014/main" id="{6A6563A6-16AC-463A-9D2B-2213DF50A695}"/>
            </a:ext>
          </a:extLst>
        </xdr:cNvPr>
        <xdr:cNvSpPr/>
      </xdr:nvSpPr>
      <xdr:spPr>
        <a:xfrm>
          <a:off x="58081" y="3368596"/>
          <a:ext cx="813110" cy="1022195"/>
        </a:xfrm>
        <a:prstGeom prst="roundRect">
          <a:avLst>
            <a:gd name="adj" fmla="val 18254"/>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marL="0" indent="0" algn="ctr"/>
          <a:r>
            <a:rPr lang="en-US" sz="1100" b="1">
              <a:solidFill>
                <a:srgbClr val="232121"/>
              </a:solidFill>
              <a:latin typeface="+mn-lt"/>
              <a:ea typeface="+mn-ea"/>
              <a:cs typeface="+mn-cs"/>
            </a:rPr>
            <a:t> Back to Home </a:t>
          </a:r>
        </a:p>
      </xdr:txBody>
    </xdr:sp>
    <xdr:clientData/>
  </xdr:twoCellAnchor>
  <xdr:twoCellAnchor>
    <xdr:from>
      <xdr:col>0</xdr:col>
      <xdr:colOff>51806</xdr:colOff>
      <xdr:row>6</xdr:row>
      <xdr:rowOff>135208</xdr:rowOff>
    </xdr:from>
    <xdr:to>
      <xdr:col>1</xdr:col>
      <xdr:colOff>250404</xdr:colOff>
      <xdr:row>10</xdr:row>
      <xdr:rowOff>34730</xdr:rowOff>
    </xdr:to>
    <xdr:sp macro="" textlink="">
      <xdr:nvSpPr>
        <xdr:cNvPr id="20" name="Rectangle: Rounded Corners 19">
          <a:extLst>
            <a:ext uri="{FF2B5EF4-FFF2-40B4-BE49-F238E27FC236}">
              <a16:creationId xmlns:a16="http://schemas.microsoft.com/office/drawing/2014/main" id="{CF4A02E5-02E1-42DD-89B7-59AE9F61E978}"/>
            </a:ext>
          </a:extLst>
        </xdr:cNvPr>
        <xdr:cNvSpPr/>
      </xdr:nvSpPr>
      <xdr:spPr>
        <a:xfrm>
          <a:off x="51806" y="1250330"/>
          <a:ext cx="802622" cy="642937"/>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rgbClr val="232121"/>
              </a:solidFill>
              <a:latin typeface="+mn-lt"/>
              <a:ea typeface="+mn-ea"/>
              <a:cs typeface="+mn-cs"/>
            </a:rPr>
            <a:t>Wen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0</xdr:row>
      <xdr:rowOff>0</xdr:rowOff>
    </xdr:from>
    <xdr:to>
      <xdr:col>14</xdr:col>
      <xdr:colOff>57149</xdr:colOff>
      <xdr:row>2</xdr:row>
      <xdr:rowOff>95250</xdr:rowOff>
    </xdr:to>
    <xdr:sp macro="" textlink="">
      <xdr:nvSpPr>
        <xdr:cNvPr id="2" name="Rectangle: Rounded Corners 1">
          <a:extLst>
            <a:ext uri="{FF2B5EF4-FFF2-40B4-BE49-F238E27FC236}">
              <a16:creationId xmlns:a16="http://schemas.microsoft.com/office/drawing/2014/main" id="{46C43D2C-2A2F-4858-A0AC-DF42F2F848D7}"/>
            </a:ext>
          </a:extLst>
        </xdr:cNvPr>
        <xdr:cNvSpPr/>
      </xdr:nvSpPr>
      <xdr:spPr>
        <a:xfrm>
          <a:off x="1476375" y="0"/>
          <a:ext cx="7115174" cy="476250"/>
        </a:xfrm>
        <a:prstGeom prst="roundRect">
          <a:avLst/>
        </a:prstGeom>
        <a:gradFill flip="none" rotWithShape="1">
          <a:gsLst>
            <a:gs pos="0">
              <a:srgbClr val="C21D03">
                <a:shade val="30000"/>
                <a:satMod val="115000"/>
              </a:srgbClr>
            </a:gs>
            <a:gs pos="50000">
              <a:srgbClr val="C21D03">
                <a:shade val="67500"/>
                <a:satMod val="115000"/>
              </a:srgbClr>
            </a:gs>
            <a:gs pos="100000">
              <a:srgbClr val="C21D03">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solidFill>
                <a:srgbClr val="FD5732"/>
              </a:solidFill>
              <a:latin typeface="Arial Black" panose="020B0A04020102020204" pitchFamily="34" charset="0"/>
              <a:ea typeface="+mn-ea"/>
              <a:cs typeface="+mn-cs"/>
            </a:rPr>
            <a:t>Department</a:t>
          </a:r>
          <a:r>
            <a:rPr lang="en-US" sz="2400" b="1" baseline="0">
              <a:solidFill>
                <a:srgbClr val="FD5732"/>
              </a:solidFill>
              <a:latin typeface="Arial Black" panose="020B0A04020102020204" pitchFamily="34" charset="0"/>
              <a:ea typeface="+mn-ea"/>
              <a:cs typeface="+mn-cs"/>
            </a:rPr>
            <a:t> overview</a:t>
          </a:r>
          <a:endParaRPr lang="en-US" sz="2400" b="1">
            <a:solidFill>
              <a:srgbClr val="FD5732"/>
            </a:solidFill>
            <a:latin typeface="Arial Black" panose="020B0A04020102020204" pitchFamily="34" charset="0"/>
            <a:ea typeface="+mn-ea"/>
            <a:cs typeface="+mn-cs"/>
          </a:endParaRPr>
        </a:p>
      </xdr:txBody>
    </xdr:sp>
    <xdr:clientData/>
  </xdr:twoCellAnchor>
  <xdr:twoCellAnchor>
    <xdr:from>
      <xdr:col>0</xdr:col>
      <xdr:colOff>28574</xdr:colOff>
      <xdr:row>2</xdr:row>
      <xdr:rowOff>114300</xdr:rowOff>
    </xdr:from>
    <xdr:to>
      <xdr:col>1</xdr:col>
      <xdr:colOff>266699</xdr:colOff>
      <xdr:row>23</xdr:row>
      <xdr:rowOff>179294</xdr:rowOff>
    </xdr:to>
    <xdr:sp macro="" textlink="">
      <xdr:nvSpPr>
        <xdr:cNvPr id="3" name="Rectangle: Rounded Corners 2">
          <a:extLst>
            <a:ext uri="{FF2B5EF4-FFF2-40B4-BE49-F238E27FC236}">
              <a16:creationId xmlns:a16="http://schemas.microsoft.com/office/drawing/2014/main" id="{2D418C48-9C78-4EA4-A242-B3D2553DC577}"/>
            </a:ext>
          </a:extLst>
        </xdr:cNvPr>
        <xdr:cNvSpPr/>
      </xdr:nvSpPr>
      <xdr:spPr>
        <a:xfrm>
          <a:off x="28574" y="495300"/>
          <a:ext cx="847725" cy="4065494"/>
        </a:xfrm>
        <a:prstGeom prst="roundRect">
          <a:avLst/>
        </a:prstGeom>
        <a:solidFill>
          <a:srgbClr val="C8C8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333376</xdr:colOff>
      <xdr:row>5</xdr:row>
      <xdr:rowOff>171448</xdr:rowOff>
    </xdr:from>
    <xdr:to>
      <xdr:col>8</xdr:col>
      <xdr:colOff>464635</xdr:colOff>
      <xdr:row>15</xdr:row>
      <xdr:rowOff>69695</xdr:rowOff>
    </xdr:to>
    <xdr:sp macro="" textlink="">
      <xdr:nvSpPr>
        <xdr:cNvPr id="4" name="Rectangle: Rounded Corners 3">
          <a:extLst>
            <a:ext uri="{FF2B5EF4-FFF2-40B4-BE49-F238E27FC236}">
              <a16:creationId xmlns:a16="http://schemas.microsoft.com/office/drawing/2014/main" id="{2C197B19-7EE1-4B23-99D7-48F613D2FED2}"/>
            </a:ext>
          </a:extLst>
        </xdr:cNvPr>
        <xdr:cNvSpPr/>
      </xdr:nvSpPr>
      <xdr:spPr>
        <a:xfrm>
          <a:off x="937400" y="1100716"/>
          <a:ext cx="4359430" cy="1756784"/>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368631</xdr:colOff>
      <xdr:row>15</xdr:row>
      <xdr:rowOff>160162</xdr:rowOff>
    </xdr:from>
    <xdr:to>
      <xdr:col>8</xdr:col>
      <xdr:colOff>453017</xdr:colOff>
      <xdr:row>24</xdr:row>
      <xdr:rowOff>94608</xdr:rowOff>
    </xdr:to>
    <xdr:sp macro="" textlink="">
      <xdr:nvSpPr>
        <xdr:cNvPr id="5" name="Rectangle: Rounded Corners 4">
          <a:extLst>
            <a:ext uri="{FF2B5EF4-FFF2-40B4-BE49-F238E27FC236}">
              <a16:creationId xmlns:a16="http://schemas.microsoft.com/office/drawing/2014/main" id="{C8EEF1DB-79B5-4380-9D4D-E56693B438D6}"/>
            </a:ext>
          </a:extLst>
        </xdr:cNvPr>
        <xdr:cNvSpPr/>
      </xdr:nvSpPr>
      <xdr:spPr>
        <a:xfrm>
          <a:off x="972655" y="2947967"/>
          <a:ext cx="4312557" cy="1607129"/>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569177</xdr:colOff>
      <xdr:row>5</xdr:row>
      <xdr:rowOff>152399</xdr:rowOff>
    </xdr:from>
    <xdr:to>
      <xdr:col>14</xdr:col>
      <xdr:colOff>38100</xdr:colOff>
      <xdr:row>24</xdr:row>
      <xdr:rowOff>127774</xdr:rowOff>
    </xdr:to>
    <xdr:sp macro="" textlink="">
      <xdr:nvSpPr>
        <xdr:cNvPr id="6" name="Rectangle: Rounded Corners 5">
          <a:extLst>
            <a:ext uri="{FF2B5EF4-FFF2-40B4-BE49-F238E27FC236}">
              <a16:creationId xmlns:a16="http://schemas.microsoft.com/office/drawing/2014/main" id="{E4589FC8-7DB3-4EAC-AD0E-C9F63299097D}"/>
            </a:ext>
          </a:extLst>
        </xdr:cNvPr>
        <xdr:cNvSpPr/>
      </xdr:nvSpPr>
      <xdr:spPr>
        <a:xfrm>
          <a:off x="5401372" y="1081667"/>
          <a:ext cx="3093069" cy="3506595"/>
        </a:xfrm>
        <a:prstGeom prst="roundRect">
          <a:avLst>
            <a:gd name="adj" fmla="val 12052"/>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106456</xdr:colOff>
      <xdr:row>0</xdr:row>
      <xdr:rowOff>0</xdr:rowOff>
    </xdr:from>
    <xdr:to>
      <xdr:col>17</xdr:col>
      <xdr:colOff>516031</xdr:colOff>
      <xdr:row>24</xdr:row>
      <xdr:rowOff>69694</xdr:rowOff>
    </xdr:to>
    <xdr:sp macro="" textlink="">
      <xdr:nvSpPr>
        <xdr:cNvPr id="7" name="Rectangle: Rounded Corners 6">
          <a:extLst>
            <a:ext uri="{FF2B5EF4-FFF2-40B4-BE49-F238E27FC236}">
              <a16:creationId xmlns:a16="http://schemas.microsoft.com/office/drawing/2014/main" id="{E28C3ED8-5A0E-4B0B-AC3A-0D6693AA3029}"/>
            </a:ext>
          </a:extLst>
        </xdr:cNvPr>
        <xdr:cNvSpPr/>
      </xdr:nvSpPr>
      <xdr:spPr>
        <a:xfrm>
          <a:off x="8562797" y="0"/>
          <a:ext cx="2221649" cy="4530182"/>
        </a:xfrm>
        <a:prstGeom prst="roundRect">
          <a:avLst>
            <a:gd name="adj" fmla="val 3691"/>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19048</xdr:colOff>
      <xdr:row>0</xdr:row>
      <xdr:rowOff>0</xdr:rowOff>
    </xdr:from>
    <xdr:to>
      <xdr:col>2</xdr:col>
      <xdr:colOff>238123</xdr:colOff>
      <xdr:row>2</xdr:row>
      <xdr:rowOff>95251</xdr:rowOff>
    </xdr:to>
    <xdr:sp macro="" textlink="">
      <xdr:nvSpPr>
        <xdr:cNvPr id="8" name="Rectangle: Rounded Corners 7">
          <a:extLst>
            <a:ext uri="{FF2B5EF4-FFF2-40B4-BE49-F238E27FC236}">
              <a16:creationId xmlns:a16="http://schemas.microsoft.com/office/drawing/2014/main" id="{3E67DC15-8B34-4856-8CE2-A497F85FEF47}"/>
            </a:ext>
          </a:extLst>
        </xdr:cNvPr>
        <xdr:cNvSpPr/>
      </xdr:nvSpPr>
      <xdr:spPr>
        <a:xfrm>
          <a:off x="19048" y="0"/>
          <a:ext cx="1438275" cy="476251"/>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333374</xdr:colOff>
      <xdr:row>2</xdr:row>
      <xdr:rowOff>9523</xdr:rowOff>
    </xdr:from>
    <xdr:to>
      <xdr:col>5</xdr:col>
      <xdr:colOff>47625</xdr:colOff>
      <xdr:row>6</xdr:row>
      <xdr:rowOff>9524</xdr:rowOff>
    </xdr:to>
    <xdr:grpSp>
      <xdr:nvGrpSpPr>
        <xdr:cNvPr id="11" name="Group 10">
          <a:extLst>
            <a:ext uri="{FF2B5EF4-FFF2-40B4-BE49-F238E27FC236}">
              <a16:creationId xmlns:a16="http://schemas.microsoft.com/office/drawing/2014/main" id="{026811C8-4F52-4C74-9E35-596DA6039920}"/>
            </a:ext>
          </a:extLst>
        </xdr:cNvPr>
        <xdr:cNvGrpSpPr/>
      </xdr:nvGrpSpPr>
      <xdr:grpSpPr>
        <a:xfrm>
          <a:off x="938492" y="390523"/>
          <a:ext cx="2134721" cy="762001"/>
          <a:chOff x="942974" y="400049"/>
          <a:chExt cx="2152651" cy="762001"/>
        </a:xfrm>
      </xdr:grpSpPr>
      <xdr:sp macro="" textlink="">
        <xdr:nvSpPr>
          <xdr:cNvPr id="12" name="Rectangle: Rounded Corners 11">
            <a:extLst>
              <a:ext uri="{FF2B5EF4-FFF2-40B4-BE49-F238E27FC236}">
                <a16:creationId xmlns:a16="http://schemas.microsoft.com/office/drawing/2014/main" id="{4296FF2F-2C91-F2D9-3C5A-6E7AFDEDAB75}"/>
              </a:ext>
            </a:extLst>
          </xdr:cNvPr>
          <xdr:cNvSpPr/>
        </xdr:nvSpPr>
        <xdr:spPr>
          <a:xfrm>
            <a:off x="942974" y="514349"/>
            <a:ext cx="1933575" cy="552451"/>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B1C2E15F-9AEB-1D77-C44C-F1F19223AA9F}"/>
              </a:ext>
            </a:extLst>
          </xdr:cNvPr>
          <xdr:cNvSpPr/>
        </xdr:nvSpPr>
        <xdr:spPr>
          <a:xfrm>
            <a:off x="1362076" y="523874"/>
            <a:ext cx="1057274"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Employee</a:t>
            </a:r>
            <a:r>
              <a:rPr lang="en-US" sz="1200" b="1" baseline="0"/>
              <a:t> preformance</a:t>
            </a:r>
            <a:endParaRPr lang="en-US" sz="1200" b="1"/>
          </a:p>
        </xdr:txBody>
      </xdr:sp>
      <xdr:pic>
        <xdr:nvPicPr>
          <xdr:cNvPr id="14" name="Picture 13">
            <a:extLst>
              <a:ext uri="{FF2B5EF4-FFF2-40B4-BE49-F238E27FC236}">
                <a16:creationId xmlns:a16="http://schemas.microsoft.com/office/drawing/2014/main" id="{98EAF443-9DF1-7C77-4D7C-A058C63A12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125" y="552450"/>
            <a:ext cx="428014" cy="428014"/>
          </a:xfrm>
          <a:prstGeom prst="rect">
            <a:avLst/>
          </a:prstGeom>
        </xdr:spPr>
      </xdr:pic>
      <xdr:sp macro="" textlink="$U$5">
        <xdr:nvSpPr>
          <xdr:cNvPr id="15" name="Oval 14">
            <a:extLst>
              <a:ext uri="{FF2B5EF4-FFF2-40B4-BE49-F238E27FC236}">
                <a16:creationId xmlns:a16="http://schemas.microsoft.com/office/drawing/2014/main" id="{050C1726-70A9-AD96-0A92-E69F30AE259F}"/>
              </a:ext>
            </a:extLst>
          </xdr:cNvPr>
          <xdr:cNvSpPr/>
        </xdr:nvSpPr>
        <xdr:spPr>
          <a:xfrm>
            <a:off x="2095499" y="400049"/>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18272B-25F0-41C7-93AC-1C95DA52378F}" type="TxLink">
              <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algn="ctr"/>
              <a:t>-11%</a:t>
            </a:fld>
            <a:endParaRPr lang="en-US"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grpSp>
    <xdr:clientData/>
  </xdr:twoCellAnchor>
  <xdr:twoCellAnchor>
    <xdr:from>
      <xdr:col>5</xdr:col>
      <xdr:colOff>25400</xdr:colOff>
      <xdr:row>2</xdr:row>
      <xdr:rowOff>38098</xdr:rowOff>
    </xdr:from>
    <xdr:to>
      <xdr:col>8</xdr:col>
      <xdr:colOff>139701</xdr:colOff>
      <xdr:row>6</xdr:row>
      <xdr:rowOff>38099</xdr:rowOff>
    </xdr:to>
    <xdr:grpSp>
      <xdr:nvGrpSpPr>
        <xdr:cNvPr id="16" name="Group 15">
          <a:extLst>
            <a:ext uri="{FF2B5EF4-FFF2-40B4-BE49-F238E27FC236}">
              <a16:creationId xmlns:a16="http://schemas.microsoft.com/office/drawing/2014/main" id="{94E10FD9-B4F8-4C90-8F2B-12BD1345A381}"/>
            </a:ext>
          </a:extLst>
        </xdr:cNvPr>
        <xdr:cNvGrpSpPr/>
      </xdr:nvGrpSpPr>
      <xdr:grpSpPr>
        <a:xfrm>
          <a:off x="3050988" y="419098"/>
          <a:ext cx="1929654" cy="762001"/>
          <a:chOff x="2924175" y="428623"/>
          <a:chExt cx="1943101" cy="762001"/>
        </a:xfrm>
      </xdr:grpSpPr>
      <xdr:sp macro="" textlink="">
        <xdr:nvSpPr>
          <xdr:cNvPr id="17" name="Rectangle: Rounded Corners 16">
            <a:extLst>
              <a:ext uri="{FF2B5EF4-FFF2-40B4-BE49-F238E27FC236}">
                <a16:creationId xmlns:a16="http://schemas.microsoft.com/office/drawing/2014/main" id="{11900B82-2EFB-B759-B7D2-355E5612E162}"/>
              </a:ext>
            </a:extLst>
          </xdr:cNvPr>
          <xdr:cNvSpPr/>
        </xdr:nvSpPr>
        <xdr:spPr>
          <a:xfrm>
            <a:off x="2924175" y="514348"/>
            <a:ext cx="1771650" cy="548640"/>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8" name="Rectangle: Rounded Corners 17">
            <a:extLst>
              <a:ext uri="{FF2B5EF4-FFF2-40B4-BE49-F238E27FC236}">
                <a16:creationId xmlns:a16="http://schemas.microsoft.com/office/drawing/2014/main" id="{4CD0FEDE-7E17-3880-938C-EBDA1F8C0C51}"/>
              </a:ext>
            </a:extLst>
          </xdr:cNvPr>
          <xdr:cNvSpPr/>
        </xdr:nvSpPr>
        <xdr:spPr>
          <a:xfrm>
            <a:off x="3381375" y="533398"/>
            <a:ext cx="1057274"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a:t>
            </a:r>
            <a:br>
              <a:rPr lang="en-US" sz="1200" b="1" baseline="0"/>
            </a:br>
            <a:r>
              <a:rPr lang="en-US" sz="1200" b="1" baseline="0"/>
              <a:t>Salary</a:t>
            </a:r>
            <a:endParaRPr lang="en-US" sz="1200" b="1"/>
          </a:p>
        </xdr:txBody>
      </xdr:sp>
      <xdr:pic>
        <xdr:nvPicPr>
          <xdr:cNvPr id="19" name="Picture 18">
            <a:extLst>
              <a:ext uri="{FF2B5EF4-FFF2-40B4-BE49-F238E27FC236}">
                <a16:creationId xmlns:a16="http://schemas.microsoft.com/office/drawing/2014/main" id="{9B17882F-4B15-C655-C561-50FE173BC9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9900" y="581025"/>
            <a:ext cx="428625" cy="428625"/>
          </a:xfrm>
          <a:prstGeom prst="rect">
            <a:avLst/>
          </a:prstGeom>
        </xdr:spPr>
      </xdr:pic>
      <xdr:sp macro="" textlink="$U$6">
        <xdr:nvSpPr>
          <xdr:cNvPr id="20" name="Oval 19">
            <a:extLst>
              <a:ext uri="{FF2B5EF4-FFF2-40B4-BE49-F238E27FC236}">
                <a16:creationId xmlns:a16="http://schemas.microsoft.com/office/drawing/2014/main" id="{7BF9A0EF-B604-F4C1-B168-6CBA8D3BDC22}"/>
              </a:ext>
            </a:extLst>
          </xdr:cNvPr>
          <xdr:cNvSpPr/>
        </xdr:nvSpPr>
        <xdr:spPr>
          <a:xfrm>
            <a:off x="3867150" y="428623"/>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8E01A60-925B-4370-83F7-342B1CE13A8B}" type="TxLink">
              <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marL="0" indent="0" algn="ctr"/>
              <a:t>13.2k</a:t>
            </a:fld>
            <a:endPar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endParaRPr>
          </a:p>
        </xdr:txBody>
      </xdr:sp>
    </xdr:grpSp>
    <xdr:clientData/>
  </xdr:twoCellAnchor>
  <xdr:twoCellAnchor>
    <xdr:from>
      <xdr:col>8</xdr:col>
      <xdr:colOff>117476</xdr:colOff>
      <xdr:row>2</xdr:row>
      <xdr:rowOff>28573</xdr:rowOff>
    </xdr:from>
    <xdr:to>
      <xdr:col>11</xdr:col>
      <xdr:colOff>231776</xdr:colOff>
      <xdr:row>6</xdr:row>
      <xdr:rowOff>28574</xdr:rowOff>
    </xdr:to>
    <xdr:grpSp>
      <xdr:nvGrpSpPr>
        <xdr:cNvPr id="21" name="Group 20">
          <a:extLst>
            <a:ext uri="{FF2B5EF4-FFF2-40B4-BE49-F238E27FC236}">
              <a16:creationId xmlns:a16="http://schemas.microsoft.com/office/drawing/2014/main" id="{DB3AD21F-EFE5-4175-914A-5F0C78E82C8E}"/>
            </a:ext>
          </a:extLst>
        </xdr:cNvPr>
        <xdr:cNvGrpSpPr/>
      </xdr:nvGrpSpPr>
      <xdr:grpSpPr>
        <a:xfrm>
          <a:off x="4958417" y="409573"/>
          <a:ext cx="1929653" cy="762001"/>
          <a:chOff x="4743451" y="409575"/>
          <a:chExt cx="1943100" cy="762001"/>
        </a:xfrm>
      </xdr:grpSpPr>
      <xdr:sp macro="" textlink="">
        <xdr:nvSpPr>
          <xdr:cNvPr id="22" name="Rectangle: Rounded Corners 21">
            <a:extLst>
              <a:ext uri="{FF2B5EF4-FFF2-40B4-BE49-F238E27FC236}">
                <a16:creationId xmlns:a16="http://schemas.microsoft.com/office/drawing/2014/main" id="{D39DE938-252A-D662-6061-D85583200486}"/>
              </a:ext>
            </a:extLst>
          </xdr:cNvPr>
          <xdr:cNvSpPr/>
        </xdr:nvSpPr>
        <xdr:spPr>
          <a:xfrm>
            <a:off x="4758308" y="504823"/>
            <a:ext cx="1728217" cy="548640"/>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23" name="Picture 22">
            <a:extLst>
              <a:ext uri="{FF2B5EF4-FFF2-40B4-BE49-F238E27FC236}">
                <a16:creationId xmlns:a16="http://schemas.microsoft.com/office/drawing/2014/main" id="{E92BC453-B9B1-2FC3-154E-6DCF0CB15B0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43451" y="534081"/>
            <a:ext cx="514350" cy="514350"/>
          </a:xfrm>
          <a:prstGeom prst="rect">
            <a:avLst/>
          </a:prstGeom>
        </xdr:spPr>
      </xdr:pic>
      <xdr:sp macro="" textlink="">
        <xdr:nvSpPr>
          <xdr:cNvPr id="24" name="Rectangle: Rounded Corners 23">
            <a:extLst>
              <a:ext uri="{FF2B5EF4-FFF2-40B4-BE49-F238E27FC236}">
                <a16:creationId xmlns:a16="http://schemas.microsoft.com/office/drawing/2014/main" id="{1240650E-23E9-73DC-46CC-3B34272B533C}"/>
              </a:ext>
            </a:extLst>
          </xdr:cNvPr>
          <xdr:cNvSpPr/>
        </xdr:nvSpPr>
        <xdr:spPr>
          <a:xfrm>
            <a:off x="5139309" y="523873"/>
            <a:ext cx="1057274"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a:t>
            </a:r>
            <a:br>
              <a:rPr lang="en-US" sz="1200" b="1" baseline="0"/>
            </a:br>
            <a:r>
              <a:rPr lang="en-US" sz="1200" b="1" baseline="0"/>
              <a:t>Experince</a:t>
            </a:r>
            <a:endParaRPr lang="en-US" sz="1200" b="1"/>
          </a:p>
        </xdr:txBody>
      </xdr:sp>
      <xdr:sp macro="" textlink="$U$7">
        <xdr:nvSpPr>
          <xdr:cNvPr id="25" name="Oval 24">
            <a:extLst>
              <a:ext uri="{FF2B5EF4-FFF2-40B4-BE49-F238E27FC236}">
                <a16:creationId xmlns:a16="http://schemas.microsoft.com/office/drawing/2014/main" id="{2AFB54D5-ECA6-CD48-7195-89DDE361E816}"/>
              </a:ext>
            </a:extLst>
          </xdr:cNvPr>
          <xdr:cNvSpPr/>
        </xdr:nvSpPr>
        <xdr:spPr>
          <a:xfrm>
            <a:off x="5686425" y="409575"/>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DE5689-C6E2-4597-A2FE-0CCE485F716A}" type="TxLink">
              <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marL="0" indent="0" algn="ctr"/>
              <a:t>14.8</a:t>
            </a:fld>
            <a:endParaRPr lang="en-US" sz="18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endParaRPr>
          </a:p>
        </xdr:txBody>
      </xdr:sp>
    </xdr:grpSp>
    <xdr:clientData/>
  </xdr:twoCellAnchor>
  <xdr:twoCellAnchor>
    <xdr:from>
      <xdr:col>11</xdr:col>
      <xdr:colOff>209551</xdr:colOff>
      <xdr:row>2</xdr:row>
      <xdr:rowOff>22223</xdr:rowOff>
    </xdr:from>
    <xdr:to>
      <xdr:col>14</xdr:col>
      <xdr:colOff>285753</xdr:colOff>
      <xdr:row>6</xdr:row>
      <xdr:rowOff>22224</xdr:rowOff>
    </xdr:to>
    <xdr:grpSp>
      <xdr:nvGrpSpPr>
        <xdr:cNvPr id="26" name="Group 25">
          <a:extLst>
            <a:ext uri="{FF2B5EF4-FFF2-40B4-BE49-F238E27FC236}">
              <a16:creationId xmlns:a16="http://schemas.microsoft.com/office/drawing/2014/main" id="{DF646141-CC64-456F-AE68-0BF37D6D8F80}"/>
            </a:ext>
          </a:extLst>
        </xdr:cNvPr>
        <xdr:cNvGrpSpPr/>
      </xdr:nvGrpSpPr>
      <xdr:grpSpPr>
        <a:xfrm>
          <a:off x="6865845" y="403223"/>
          <a:ext cx="1891555" cy="762001"/>
          <a:chOff x="6515100" y="403223"/>
          <a:chExt cx="1904338" cy="762001"/>
        </a:xfrm>
      </xdr:grpSpPr>
      <xdr:sp macro="" textlink="">
        <xdr:nvSpPr>
          <xdr:cNvPr id="27" name="Rectangle: Rounded Corners 26">
            <a:extLst>
              <a:ext uri="{FF2B5EF4-FFF2-40B4-BE49-F238E27FC236}">
                <a16:creationId xmlns:a16="http://schemas.microsoft.com/office/drawing/2014/main" id="{B0DE0356-D586-BD19-5E5D-0D919F9F0AF3}"/>
              </a:ext>
            </a:extLst>
          </xdr:cNvPr>
          <xdr:cNvSpPr/>
        </xdr:nvSpPr>
        <xdr:spPr>
          <a:xfrm>
            <a:off x="6515100" y="504823"/>
            <a:ext cx="1676400" cy="548640"/>
          </a:xfrm>
          <a:prstGeom prst="round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28" name="Picture 27">
            <a:extLst>
              <a:ext uri="{FF2B5EF4-FFF2-40B4-BE49-F238E27FC236}">
                <a16:creationId xmlns:a16="http://schemas.microsoft.com/office/drawing/2014/main" id="{45073AC4-EC7D-A416-5E23-5166B1B9D67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43676" y="590550"/>
            <a:ext cx="335096" cy="335096"/>
          </a:xfrm>
          <a:prstGeom prst="rect">
            <a:avLst/>
          </a:prstGeom>
        </xdr:spPr>
      </xdr:pic>
      <xdr:sp macro="" textlink="">
        <xdr:nvSpPr>
          <xdr:cNvPr id="29" name="Rectangle: Rounded Corners 28">
            <a:extLst>
              <a:ext uri="{FF2B5EF4-FFF2-40B4-BE49-F238E27FC236}">
                <a16:creationId xmlns:a16="http://schemas.microsoft.com/office/drawing/2014/main" id="{5012DF7F-1ECC-CE2D-8DED-1E52CE47AD7D}"/>
              </a:ext>
            </a:extLst>
          </xdr:cNvPr>
          <xdr:cNvSpPr/>
        </xdr:nvSpPr>
        <xdr:spPr>
          <a:xfrm>
            <a:off x="6857999" y="523873"/>
            <a:ext cx="923925" cy="5524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baseline="0">
                <a:solidFill>
                  <a:schemeClr val="lt1"/>
                </a:solidFill>
                <a:effectLst/>
                <a:latin typeface="+mn-lt"/>
                <a:ea typeface="+mn-ea"/>
                <a:cs typeface="+mn-cs"/>
              </a:rPr>
              <a:t>High potentials</a:t>
            </a:r>
            <a:endParaRPr lang="en-US" sz="1400" b="1" baseline="0">
              <a:solidFill>
                <a:schemeClr val="lt1"/>
              </a:solidFill>
              <a:latin typeface="+mn-lt"/>
              <a:ea typeface="+mn-ea"/>
              <a:cs typeface="+mn-cs"/>
            </a:endParaRPr>
          </a:p>
        </xdr:txBody>
      </xdr:sp>
      <xdr:sp macro="" textlink="$U$8">
        <xdr:nvSpPr>
          <xdr:cNvPr id="30" name="Oval 29">
            <a:extLst>
              <a:ext uri="{FF2B5EF4-FFF2-40B4-BE49-F238E27FC236}">
                <a16:creationId xmlns:a16="http://schemas.microsoft.com/office/drawing/2014/main" id="{11C3C9BC-E926-336C-A142-7E7C9B836F42}"/>
              </a:ext>
            </a:extLst>
          </xdr:cNvPr>
          <xdr:cNvSpPr/>
        </xdr:nvSpPr>
        <xdr:spPr>
          <a:xfrm>
            <a:off x="7419312" y="403223"/>
            <a:ext cx="1000126" cy="762001"/>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CC8DCE6-2CB7-40D2-A477-5FA7A4019801}" type="TxLink">
              <a:rPr lang="en-US" sz="2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rPr>
              <a:pPr marL="0" indent="0" algn="ctr"/>
              <a:t>29</a:t>
            </a:fld>
            <a:endParaRPr lang="en-US" sz="20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a typeface="Calibri"/>
              <a:cs typeface="Calibri"/>
            </a:endParaRPr>
          </a:p>
        </xdr:txBody>
      </xdr:sp>
    </xdr:grpSp>
    <xdr:clientData/>
  </xdr:twoCellAnchor>
  <xdr:twoCellAnchor editAs="oneCell">
    <xdr:from>
      <xdr:col>0</xdr:col>
      <xdr:colOff>1</xdr:colOff>
      <xdr:row>0</xdr:row>
      <xdr:rowOff>50005</xdr:rowOff>
    </xdr:from>
    <xdr:to>
      <xdr:col>2</xdr:col>
      <xdr:colOff>202406</xdr:colOff>
      <xdr:row>2</xdr:row>
      <xdr:rowOff>71437</xdr:rowOff>
    </xdr:to>
    <xdr:pic>
      <xdr:nvPicPr>
        <xdr:cNvPr id="31" name="Picture 30">
          <a:extLst>
            <a:ext uri="{FF2B5EF4-FFF2-40B4-BE49-F238E27FC236}">
              <a16:creationId xmlns:a16="http://schemas.microsoft.com/office/drawing/2014/main" id="{00A719C7-E65A-4AD0-B59C-B974863B9D29}"/>
            </a:ext>
          </a:extLst>
        </xdr:cNvPr>
        <xdr:cNvPicPr>
          <a:picLocks noChangeAspect="1"/>
        </xdr:cNvPicPr>
      </xdr:nvPicPr>
      <xdr:blipFill rotWithShape="1">
        <a:blip xmlns:r="http://schemas.openxmlformats.org/officeDocument/2006/relationships" r:embed="rId5"/>
        <a:srcRect l="6673" t="39167" r="7609" b="34167"/>
        <a:stretch>
          <a:fillRect/>
        </a:stretch>
      </xdr:blipFill>
      <xdr:spPr>
        <a:xfrm>
          <a:off x="1" y="50005"/>
          <a:ext cx="1421605" cy="402432"/>
        </a:xfrm>
        <a:prstGeom prst="rect">
          <a:avLst/>
        </a:prstGeom>
      </xdr:spPr>
    </xdr:pic>
    <xdr:clientData/>
  </xdr:twoCellAnchor>
  <xdr:twoCellAnchor>
    <xdr:from>
      <xdr:col>0</xdr:col>
      <xdr:colOff>48324</xdr:colOff>
      <xdr:row>2</xdr:row>
      <xdr:rowOff>142875</xdr:rowOff>
    </xdr:from>
    <xdr:to>
      <xdr:col>1</xdr:col>
      <xdr:colOff>245828</xdr:colOff>
      <xdr:row>6</xdr:row>
      <xdr:rowOff>23812</xdr:rowOff>
    </xdr:to>
    <xdr:sp macro="" textlink="">
      <xdr:nvSpPr>
        <xdr:cNvPr id="35" name="Rectangle: Rounded Corners 34">
          <a:extLst>
            <a:ext uri="{FF2B5EF4-FFF2-40B4-BE49-F238E27FC236}">
              <a16:creationId xmlns:a16="http://schemas.microsoft.com/office/drawing/2014/main" id="{14D82AEE-17CF-4200-9852-A5323015CAF6}"/>
            </a:ext>
          </a:extLst>
        </xdr:cNvPr>
        <xdr:cNvSpPr/>
      </xdr:nvSpPr>
      <xdr:spPr>
        <a:xfrm>
          <a:off x="48324" y="523875"/>
          <a:ext cx="802622" cy="642937"/>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rgbClr val="232121"/>
              </a:solidFill>
              <a:latin typeface="+mn-lt"/>
              <a:ea typeface="+mn-ea"/>
              <a:cs typeface="+mn-cs"/>
            </a:rPr>
            <a:t>Date</a:t>
          </a:r>
        </a:p>
        <a:p>
          <a:pPr marL="0" indent="0" algn="ctr"/>
          <a:r>
            <a:rPr lang="en-US" sz="1200" b="1">
              <a:solidFill>
                <a:srgbClr val="232121"/>
              </a:solidFill>
              <a:latin typeface="+mn-lt"/>
              <a:ea typeface="+mn-ea"/>
              <a:cs typeface="+mn-cs"/>
            </a:rPr>
            <a:t>18/6/25</a:t>
          </a:r>
        </a:p>
        <a:p>
          <a:pPr marL="0" indent="0" algn="ctr"/>
          <a:endParaRPr lang="en-US" sz="1200" b="1">
            <a:solidFill>
              <a:srgbClr val="232121"/>
            </a:solidFill>
            <a:latin typeface="+mn-lt"/>
            <a:ea typeface="+mn-ea"/>
            <a:cs typeface="+mn-cs"/>
          </a:endParaRPr>
        </a:p>
        <a:p>
          <a:pPr marL="0" indent="0" algn="ctr"/>
          <a:endParaRPr lang="en-US" sz="1200" b="1">
            <a:solidFill>
              <a:srgbClr val="232121"/>
            </a:solidFill>
            <a:latin typeface="+mn-lt"/>
            <a:ea typeface="+mn-ea"/>
            <a:cs typeface="+mn-cs"/>
          </a:endParaRPr>
        </a:p>
      </xdr:txBody>
    </xdr:sp>
    <xdr:clientData/>
  </xdr:twoCellAnchor>
  <xdr:twoCellAnchor editAs="oneCell">
    <xdr:from>
      <xdr:col>14</xdr:col>
      <xdr:colOff>169849</xdr:colOff>
      <xdr:row>12</xdr:row>
      <xdr:rowOff>97850</xdr:rowOff>
    </xdr:from>
    <xdr:to>
      <xdr:col>17</xdr:col>
      <xdr:colOff>480332</xdr:colOff>
      <xdr:row>23</xdr:row>
      <xdr:rowOff>174237</xdr:rowOff>
    </xdr:to>
    <mc:AlternateContent xmlns:mc="http://schemas.openxmlformats.org/markup-compatibility/2006" xmlns:a14="http://schemas.microsoft.com/office/drawing/2010/main">
      <mc:Choice Requires="a14">
        <xdr:graphicFrame macro="">
          <xdr:nvGraphicFramePr>
            <xdr:cNvPr id="36" name="الوظيفة 2">
              <a:extLst>
                <a:ext uri="{FF2B5EF4-FFF2-40B4-BE49-F238E27FC236}">
                  <a16:creationId xmlns:a16="http://schemas.microsoft.com/office/drawing/2014/main" id="{4E3441F8-F553-4439-A5ED-8CEE8A711E5B}"/>
                </a:ext>
              </a:extLst>
            </xdr:cNvPr>
            <xdr:cNvGraphicFramePr/>
          </xdr:nvGraphicFramePr>
          <xdr:xfrm>
            <a:off x="0" y="0"/>
            <a:ext cx="0" cy="0"/>
          </xdr:xfrm>
          <a:graphic>
            <a:graphicData uri="http://schemas.microsoft.com/office/drawing/2010/slicer">
              <sle:slicer xmlns:sle="http://schemas.microsoft.com/office/drawing/2010/slicer" name="الوظيفة 2"/>
            </a:graphicData>
          </a:graphic>
        </xdr:graphicFrame>
      </mc:Choice>
      <mc:Fallback xmlns="">
        <xdr:sp macro="" textlink="">
          <xdr:nvSpPr>
            <xdr:cNvPr id="0" name=""/>
            <xdr:cNvSpPr>
              <a:spLocks noTextEdit="1"/>
            </xdr:cNvSpPr>
          </xdr:nvSpPr>
          <xdr:spPr>
            <a:xfrm>
              <a:off x="8626190" y="2328094"/>
              <a:ext cx="2122557" cy="2120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156882</xdr:colOff>
      <xdr:row>6</xdr:row>
      <xdr:rowOff>58273</xdr:rowOff>
    </xdr:from>
    <xdr:to>
      <xdr:col>17</xdr:col>
      <xdr:colOff>470646</xdr:colOff>
      <xdr:row>12</xdr:row>
      <xdr:rowOff>90769</xdr:rowOff>
    </xdr:to>
    <mc:AlternateContent xmlns:mc="http://schemas.openxmlformats.org/markup-compatibility/2006" xmlns:a14="http://schemas.microsoft.com/office/drawing/2010/main">
      <mc:Choice Requires="a14">
        <xdr:graphicFrame macro="">
          <xdr:nvGraphicFramePr>
            <xdr:cNvPr id="37" name="الموقع 2">
              <a:extLst>
                <a:ext uri="{FF2B5EF4-FFF2-40B4-BE49-F238E27FC236}">
                  <a16:creationId xmlns:a16="http://schemas.microsoft.com/office/drawing/2014/main" id="{833DA81F-717A-4C1B-B772-B749C003BBE3}"/>
                </a:ext>
              </a:extLst>
            </xdr:cNvPr>
            <xdr:cNvGraphicFramePr/>
          </xdr:nvGraphicFramePr>
          <xdr:xfrm>
            <a:off x="0" y="0"/>
            <a:ext cx="0" cy="0"/>
          </xdr:xfrm>
          <a:graphic>
            <a:graphicData uri="http://schemas.microsoft.com/office/drawing/2010/slicer">
              <sle:slicer xmlns:sle="http://schemas.microsoft.com/office/drawing/2010/slicer" name="الموقع 2"/>
            </a:graphicData>
          </a:graphic>
        </xdr:graphicFrame>
      </mc:Choice>
      <mc:Fallback xmlns="">
        <xdr:sp macro="" textlink="">
          <xdr:nvSpPr>
            <xdr:cNvPr id="0" name=""/>
            <xdr:cNvSpPr>
              <a:spLocks noTextEdit="1"/>
            </xdr:cNvSpPr>
          </xdr:nvSpPr>
          <xdr:spPr>
            <a:xfrm>
              <a:off x="8613223" y="1173395"/>
              <a:ext cx="2125838" cy="1147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168088</xdr:colOff>
      <xdr:row>0</xdr:row>
      <xdr:rowOff>31938</xdr:rowOff>
    </xdr:from>
    <xdr:to>
      <xdr:col>17</xdr:col>
      <xdr:colOff>470647</xdr:colOff>
      <xdr:row>6</xdr:row>
      <xdr:rowOff>47626</xdr:rowOff>
    </xdr:to>
    <mc:AlternateContent xmlns:mc="http://schemas.openxmlformats.org/markup-compatibility/2006" xmlns:a14="http://schemas.microsoft.com/office/drawing/2010/main">
      <mc:Choice Requires="a14">
        <xdr:graphicFrame macro="">
          <xdr:nvGraphicFramePr>
            <xdr:cNvPr id="38" name="المؤهل الدراسي 2">
              <a:extLst>
                <a:ext uri="{FF2B5EF4-FFF2-40B4-BE49-F238E27FC236}">
                  <a16:creationId xmlns:a16="http://schemas.microsoft.com/office/drawing/2014/main" id="{51D5006B-FE04-4141-91DB-39D6778DF1BB}"/>
                </a:ext>
              </a:extLst>
            </xdr:cNvPr>
            <xdr:cNvGraphicFramePr/>
          </xdr:nvGraphicFramePr>
          <xdr:xfrm>
            <a:off x="0" y="0"/>
            <a:ext cx="0" cy="0"/>
          </xdr:xfrm>
          <a:graphic>
            <a:graphicData uri="http://schemas.microsoft.com/office/drawing/2010/slicer">
              <sle:slicer xmlns:sle="http://schemas.microsoft.com/office/drawing/2010/slicer" name="المؤهل الدراسي 2"/>
            </a:graphicData>
          </a:graphic>
        </xdr:graphicFrame>
      </mc:Choice>
      <mc:Fallback xmlns="">
        <xdr:sp macro="" textlink="">
          <xdr:nvSpPr>
            <xdr:cNvPr id="0" name=""/>
            <xdr:cNvSpPr>
              <a:spLocks noTextEdit="1"/>
            </xdr:cNvSpPr>
          </xdr:nvSpPr>
          <xdr:spPr>
            <a:xfrm>
              <a:off x="8624429" y="31938"/>
              <a:ext cx="2114633" cy="1130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70737</xdr:colOff>
      <xdr:row>11</xdr:row>
      <xdr:rowOff>118378</xdr:rowOff>
    </xdr:from>
    <xdr:to>
      <xdr:col>1</xdr:col>
      <xdr:colOff>249331</xdr:colOff>
      <xdr:row>15</xdr:row>
      <xdr:rowOff>146838</xdr:rowOff>
    </xdr:to>
    <xdr:pic>
      <xdr:nvPicPr>
        <xdr:cNvPr id="42" name="Picture 41">
          <a:extLst>
            <a:ext uri="{FF2B5EF4-FFF2-40B4-BE49-F238E27FC236}">
              <a16:creationId xmlns:a16="http://schemas.microsoft.com/office/drawing/2014/main" id="{37D8372F-B16C-4B6B-BC4A-B825449026D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737" y="2213878"/>
          <a:ext cx="783712" cy="790460"/>
        </a:xfrm>
        <a:prstGeom prst="rect">
          <a:avLst/>
        </a:prstGeom>
      </xdr:spPr>
    </xdr:pic>
    <xdr:clientData/>
  </xdr:twoCellAnchor>
  <xdr:twoCellAnchor>
    <xdr:from>
      <xdr:col>1</xdr:col>
      <xdr:colOff>441402</xdr:colOff>
      <xdr:row>15</xdr:row>
      <xdr:rowOff>104544</xdr:rowOff>
    </xdr:from>
    <xdr:to>
      <xdr:col>8</xdr:col>
      <xdr:colOff>290396</xdr:colOff>
      <xdr:row>23</xdr:row>
      <xdr:rowOff>174239</xdr:rowOff>
    </xdr:to>
    <xdr:graphicFrame macro="">
      <xdr:nvGraphicFramePr>
        <xdr:cNvPr id="43" name="Chart 42">
          <a:extLst>
            <a:ext uri="{FF2B5EF4-FFF2-40B4-BE49-F238E27FC236}">
              <a16:creationId xmlns:a16="http://schemas.microsoft.com/office/drawing/2014/main" id="{C62D9593-DC5A-4898-9864-170CA4ECD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592409</xdr:colOff>
      <xdr:row>5</xdr:row>
      <xdr:rowOff>139391</xdr:rowOff>
    </xdr:from>
    <xdr:to>
      <xdr:col>14</xdr:col>
      <xdr:colOff>46464</xdr:colOff>
      <xdr:row>23</xdr:row>
      <xdr:rowOff>127774</xdr:rowOff>
    </xdr:to>
    <xdr:graphicFrame macro="">
      <xdr:nvGraphicFramePr>
        <xdr:cNvPr id="44" name="Chart 43">
          <a:extLst>
            <a:ext uri="{FF2B5EF4-FFF2-40B4-BE49-F238E27FC236}">
              <a16:creationId xmlns:a16="http://schemas.microsoft.com/office/drawing/2014/main" id="{15252DEE-9C2D-47CF-B388-7D4B572A2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394940</xdr:colOff>
      <xdr:row>5</xdr:row>
      <xdr:rowOff>162621</xdr:rowOff>
    </xdr:from>
    <xdr:to>
      <xdr:col>8</xdr:col>
      <xdr:colOff>557561</xdr:colOff>
      <xdr:row>15</xdr:row>
      <xdr:rowOff>104543</xdr:rowOff>
    </xdr:to>
    <xdr:graphicFrame macro="">
      <xdr:nvGraphicFramePr>
        <xdr:cNvPr id="45" name="Chart 44">
          <a:extLst>
            <a:ext uri="{FF2B5EF4-FFF2-40B4-BE49-F238E27FC236}">
              <a16:creationId xmlns:a16="http://schemas.microsoft.com/office/drawing/2014/main" id="{D0A0F2A1-0694-4F98-A815-83B253CBF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182136</xdr:colOff>
      <xdr:row>0</xdr:row>
      <xdr:rowOff>0</xdr:rowOff>
    </xdr:from>
    <xdr:to>
      <xdr:col>42</xdr:col>
      <xdr:colOff>384717</xdr:colOff>
      <xdr:row>10</xdr:row>
      <xdr:rowOff>55988</xdr:rowOff>
    </xdr:to>
    <xdr:graphicFrame macro="">
      <xdr:nvGraphicFramePr>
        <xdr:cNvPr id="46" name="Chart 45">
          <a:extLst>
            <a:ext uri="{FF2B5EF4-FFF2-40B4-BE49-F238E27FC236}">
              <a16:creationId xmlns:a16="http://schemas.microsoft.com/office/drawing/2014/main" id="{3292994D-2791-4F27-B6F4-77C6F5993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62192</xdr:colOff>
      <xdr:row>17</xdr:row>
      <xdr:rowOff>56029</xdr:rowOff>
    </xdr:from>
    <xdr:to>
      <xdr:col>1</xdr:col>
      <xdr:colOff>246529</xdr:colOff>
      <xdr:row>23</xdr:row>
      <xdr:rowOff>106375</xdr:rowOff>
    </xdr:to>
    <xdr:sp macro="" textlink="">
      <xdr:nvSpPr>
        <xdr:cNvPr id="10" name="Rectangle: Rounded Corners 9">
          <a:hlinkClick xmlns:r="http://schemas.openxmlformats.org/officeDocument/2006/relationships" r:id="rId11"/>
          <a:extLst>
            <a:ext uri="{FF2B5EF4-FFF2-40B4-BE49-F238E27FC236}">
              <a16:creationId xmlns:a16="http://schemas.microsoft.com/office/drawing/2014/main" id="{7DF62D1C-6E25-4E76-BCB9-3B318268A0EE}"/>
            </a:ext>
          </a:extLst>
        </xdr:cNvPr>
        <xdr:cNvSpPr/>
      </xdr:nvSpPr>
      <xdr:spPr>
        <a:xfrm>
          <a:off x="62192" y="3294529"/>
          <a:ext cx="789455" cy="1193346"/>
        </a:xfrm>
        <a:prstGeom prst="roundRect">
          <a:avLst>
            <a:gd name="adj" fmla="val 18254"/>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marL="0" indent="0" algn="ctr"/>
          <a:r>
            <a:rPr lang="en-US" sz="1200" b="1">
              <a:solidFill>
                <a:srgbClr val="232121"/>
              </a:solidFill>
              <a:latin typeface="+mn-lt"/>
              <a:ea typeface="+mn-ea"/>
              <a:cs typeface="+mn-cs"/>
            </a:rPr>
            <a:t> Back to Home </a:t>
          </a:r>
        </a:p>
      </xdr:txBody>
    </xdr:sp>
    <xdr:clientData/>
  </xdr:twoCellAnchor>
  <xdr:twoCellAnchor>
    <xdr:from>
      <xdr:col>0</xdr:col>
      <xdr:colOff>48324</xdr:colOff>
      <xdr:row>6</xdr:row>
      <xdr:rowOff>120463</xdr:rowOff>
    </xdr:from>
    <xdr:to>
      <xdr:col>1</xdr:col>
      <xdr:colOff>245828</xdr:colOff>
      <xdr:row>10</xdr:row>
      <xdr:rowOff>1400</xdr:rowOff>
    </xdr:to>
    <xdr:sp macro="" textlink="">
      <xdr:nvSpPr>
        <xdr:cNvPr id="32" name="Rectangle: Rounded Corners 31">
          <a:extLst>
            <a:ext uri="{FF2B5EF4-FFF2-40B4-BE49-F238E27FC236}">
              <a16:creationId xmlns:a16="http://schemas.microsoft.com/office/drawing/2014/main" id="{F3445AC5-CBC0-8894-D909-9C65DB3E40DB}"/>
            </a:ext>
          </a:extLst>
        </xdr:cNvPr>
        <xdr:cNvSpPr/>
      </xdr:nvSpPr>
      <xdr:spPr>
        <a:xfrm>
          <a:off x="48324" y="1263463"/>
          <a:ext cx="802622" cy="642937"/>
        </a:xfrm>
        <a:prstGeom prst="roundRect">
          <a:avLst/>
        </a:prstGeom>
        <a:solidFill>
          <a:srgbClr val="F1F1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rgbClr val="232121"/>
              </a:solidFill>
              <a:latin typeface="+mn-lt"/>
              <a:ea typeface="+mn-ea"/>
              <a:cs typeface="+mn-cs"/>
            </a:rPr>
            <a:t>Wen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69560182" backgroundQuery="1" createdVersion="8" refreshedVersion="8" minRefreshableVersion="3" recordCount="0" supportSubquery="1" supportAdvancedDrill="1" xr:uid="{1C2FA5DA-498F-46CF-A3EA-1C4F690E7978}">
  <cacheSource type="external" connectionId="8"/>
  <cacheFields count="4">
    <cacheField name="[Department s Info].[الموقع].[الموقع]" caption="الموقع" numFmtId="0" hierarchy="4" level="1">
      <sharedItems count="3">
        <s v="الاسكندرية"/>
        <s v="القاهرة"/>
        <s v="طنطا"/>
      </sharedItems>
    </cacheField>
    <cacheField name="[Department s Info].[الوظيفة].[الوظيفة]" caption="الوظيفة" numFmtId="0" hierarchy="3" level="1">
      <sharedItems count="13">
        <s v="Accountant"/>
        <s v="Digital marketing specialist"/>
        <s v="Financial Manager"/>
        <s v="HR Coordinator"/>
        <s v="HR Manager"/>
        <s v="HR Specialist"/>
        <s v="IT Manager"/>
        <s v="Marketing Manager"/>
        <s v="Products Marketing Coordinator"/>
        <s v="Recruitment Specialsit"/>
        <s v="Sales Manager"/>
        <s v="Sales rep."/>
        <s v="Software developer"/>
      </sharedItems>
    </cacheField>
    <cacheField name="[Measures].[Count of اسم الموظف]" caption="Count of اسم الموظف" numFmtId="0" hierarchy="30"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fieldsUsage count="2">
        <fieldUsage x="-1"/>
        <fieldUsage x="1"/>
      </fieldsUsage>
    </cacheHierarchy>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3"/>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0254628" backgroundQuery="1" createdVersion="8" refreshedVersion="8" minRefreshableVersion="3" recordCount="0" supportSubquery="1" supportAdvancedDrill="1" xr:uid="{B8D3B6A4-AC30-4704-AC4D-4D6FE6732C25}">
  <cacheSource type="external" connectionId="8"/>
  <cacheFields count="4">
    <cacheField name="[Department s Info].[الموقع].[الموقع]" caption="الموقع" numFmtId="0" hierarchy="4" level="1">
      <sharedItems count="3">
        <s v="الاسكندرية"/>
        <s v="القاهرة"/>
        <s v="طنطا"/>
      </sharedItems>
    </cacheField>
    <cacheField name="[Measures].[Sum of الراتب]" caption="Sum of الراتب" numFmtId="0" hierarchy="26" level="32767"/>
    <cacheField name="[Department s Info].[الوظيفة].[الوظيفة]" caption="الوظيفة" numFmtId="0" hierarchy="3" level="1">
      <sharedItems count="13">
        <s v="Accountant"/>
        <s v="Digital marketing specialist"/>
        <s v="Financial Manager"/>
        <s v="HR Coordinator"/>
        <s v="HR Manager"/>
        <s v="HR Specialist"/>
        <s v="IT Manager"/>
        <s v="Marketing Manager"/>
        <s v="Products Marketing Coordinator"/>
        <s v="Recruitment Specialsit"/>
        <s v="Sales Manager"/>
        <s v="Sales rep."/>
        <s v="Software developer"/>
      </sharedItems>
    </cacheField>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fieldsUsage count="2">
        <fieldUsage x="-1"/>
        <fieldUsage x="2"/>
      </fieldsUsage>
    </cacheHierarchy>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3"/>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oneField="1" hidden="1">
      <fieldsUsage count="1">
        <fieldUsage x="1"/>
      </fieldsUsage>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0833336" backgroundQuery="1" createdVersion="8" refreshedVersion="8" minRefreshableVersion="3" recordCount="0" supportSubquery="1" supportAdvancedDrill="1" xr:uid="{57B58428-25D5-4344-AC4D-F2F96B06F18E}">
  <cacheSource type="external" connectionId="8"/>
  <cacheFields count="5">
    <cacheField name="[Department s Info].[الموقع].[الموقع]" caption="الموقع" numFmtId="0" hierarchy="4" level="1">
      <sharedItems count="3">
        <s v="الاسكندرية"/>
        <s v="القاهرة"/>
        <s v="طنطا"/>
      </sharedItems>
    </cacheField>
    <cacheField name="[Measures].[Max of الراتب]" caption="Max of الراتب" numFmtId="0" hierarchy="27" level="32767"/>
    <cacheField name="[Measures].[Average of الراتب]" caption="Average of الراتب" numFmtId="0" hierarchy="28" level="32767"/>
    <cacheField name="[Measures].[Min of الراتب]" caption="Min of الراتب" numFmtId="0" hierarchy="29"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4"/>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oneField="1" hidden="1">
      <fieldsUsage count="1">
        <fieldUsage x="2"/>
      </fieldsUsage>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1412037" backgroundQuery="1" createdVersion="8" refreshedVersion="8" minRefreshableVersion="3" recordCount="0" supportSubquery="1" supportAdvancedDrill="1" xr:uid="{885E661C-B08A-4DFF-A36C-D8831BCDEAAA}">
  <cacheSource type="external" connectionId="8"/>
  <cacheFields count="4">
    <cacheField name="[Department s Info].[الموقع].[الموقع]" caption="الموقع" numFmtId="0" hierarchy="4" level="1">
      <sharedItems count="3">
        <s v="الاسكندرية"/>
        <s v="القاهرة"/>
        <s v="طنطا"/>
      </sharedItems>
    </cacheField>
    <cacheField name="[Measures].[Average of سنوات الخبرة]" caption="Average of سنوات الخبرة" numFmtId="0" hierarchy="23" level="32767"/>
    <cacheField name="[Measures].[Average of العمر]" caption="Average of العمر" numFmtId="0" hierarchy="25"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3"/>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2106483" backgroundQuery="1" createdVersion="8" refreshedVersion="8" minRefreshableVersion="3" recordCount="0" supportSubquery="1" supportAdvancedDrill="1" xr:uid="{8EA3236A-2474-4B56-AAAE-C8D6C8A0C0E9}">
  <cacheSource type="external" connectionId="8"/>
  <cacheFields count="4">
    <cacheField name="[Department s Info].[الموقع].[الموقع]" caption="الموقع" numFmtId="0" hierarchy="4" level="1">
      <sharedItems count="3">
        <s v="الاسكندرية"/>
        <s v="القاهرة"/>
        <s v="طنطا"/>
      </sharedItems>
    </cacheField>
    <cacheField name="[Measures].[Average of Delta]" caption="Average of Delta" numFmtId="0" hierarchy="20" level="32767"/>
    <cacheField name="[Measures].[Average of Total Average]" caption="Average of Total Average" numFmtId="0" hierarchy="21"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3"/>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2685184" backgroundQuery="1" createdVersion="8" refreshedVersion="8" minRefreshableVersion="3" recordCount="0" supportSubquery="1" supportAdvancedDrill="1" xr:uid="{0261955A-2EA6-4E02-9124-28DDC26C2AAD}">
  <cacheSource type="external" connectionId="8"/>
  <cacheFields count="3">
    <cacheField name="[Department s Info].[الموقع].[الموقع]" caption="الموقع" numFmtId="0" hierarchy="4" level="1">
      <sharedItems count="3">
        <s v="الاسكندرية"/>
        <s v="القاهرة"/>
        <s v="طنطا"/>
      </sharedItems>
    </cacheField>
    <cacheField name="[Measures].[Sum of الراتب]" caption="Sum of الراتب" numFmtId="0" hierarchy="26"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2"/>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oneField="1" hidden="1">
      <fieldsUsage count="1">
        <fieldUsage x="1"/>
      </fieldsUsage>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3032407" backgroundQuery="1" createdVersion="8" refreshedVersion="8" minRefreshableVersion="3" recordCount="0" supportSubquery="1" supportAdvancedDrill="1" xr:uid="{ED34F539-AA89-4B36-AC43-E2B04705101F}">
  <cacheSource type="external" connectionId="8"/>
  <cacheFields count="3">
    <cacheField name="[Department s Info].[الموقع].[الموقع]" caption="الموقع" numFmtId="0" hierarchy="4" level="1">
      <sharedItems count="3">
        <s v="الاسكندرية"/>
        <s v="القاهرة"/>
        <s v="طنطا"/>
      </sharedItems>
    </cacheField>
    <cacheField name="[Measures].[Count of اسم الموظف]" caption="Count of اسم الموظف" numFmtId="0" hierarchy="30"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2"/>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3611108" backgroundQuery="1" createdVersion="8" refreshedVersion="8" minRefreshableVersion="3" recordCount="0" supportSubquery="1" supportAdvancedDrill="1" xr:uid="{41133569-5A04-4414-8772-0F6679DA2462}">
  <cacheSource type="external" connectionId="8"/>
  <cacheFields count="3">
    <cacheField name="[Department s Info].[الموقع].[الموقع]" caption="الموقع" numFmtId="0" hierarchy="4" level="1">
      <sharedItems count="3">
        <s v="الاسكندرية"/>
        <s v="القاهرة"/>
        <s v="طنطا"/>
      </sharedItems>
    </cacheField>
    <cacheField name="[Department s Info].[المؤهل الدراسي].[المؤهل الدراسي]" caption="المؤهل الدراسي" numFmtId="0" hierarchy="9" level="1">
      <sharedItems count="3">
        <s v="بكالوريوس"/>
        <s v="دبلوم"/>
        <s v="ماجستير"/>
      </sharedItems>
    </cacheField>
    <cacheField name="[Measures].[Count of اسم الموظف]" caption="Count of اسم الموظف" numFmtId="0" hierarchy="30" level="32767"/>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2"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2"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2"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2"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2"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2" memberValueDatatype="7" unbalanced="0"/>
    <cacheHierarchy uniqueName="[Department s Info].[العمر]" caption="العمر" attribute="1" defaultMemberUniqueName="[Department s Info].[العمر].[All]" allUniqueName="[Department s Info].[العمر].[All]" dimensionUniqueName="[Department s Info]" displayFolder="" count="2"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1"/>
      </fieldsUsage>
    </cacheHierarchy>
    <cacheHierarchy uniqueName="[Department s Info].[الراتب]" caption="الراتب" attribute="1" defaultMemberUniqueName="[Department s Info].[الراتب].[All]" allUniqueName="[Department s Info].[الراتب].[All]" dimensionUniqueName="[Department s Info]" displayFolder="" count="2" memberValueDatatype="20" unbalanced="0"/>
    <cacheHierarchy uniqueName="[Department s Info].[PER 2019]" caption="PER 2019" attribute="1" defaultMemberUniqueName="[Department s Info].[PER 2019].[All]" allUniqueName="[Department s Info].[PER 2019].[All]" dimensionUniqueName="[Department s Info]" displayFolder="" count="2" memberValueDatatype="5" unbalanced="0"/>
    <cacheHierarchy uniqueName="[Department s Info].[PER 2020]" caption="PER 2020" attribute="1" defaultMemberUniqueName="[Department s Info].[PER 2020].[All]" allUniqueName="[Department s Info].[PER 2020].[All]" dimensionUniqueName="[Department s Info]" displayFolder="" count="2"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2" memberValueDatatype="5" unbalanced="0"/>
    <cacheHierarchy uniqueName="[Department s Info].[Delta]" caption="Delta" attribute="1" defaultMemberUniqueName="[Department s Info].[Delta].[All]" allUniqueName="[Department s Info].[Delta].[All]" dimensionUniqueName="[Department s Info]" displayFolder="" count="2"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416614120368" backgroundQuery="1" createdVersion="3" refreshedVersion="8" minRefreshableVersion="3" recordCount="0" supportSubquery="1" supportAdvancedDrill="1" xr:uid="{65726762-C135-4D94-9882-8FE6FF7BC778}">
  <cacheSource type="external" connectionId="8">
    <extLst>
      <ext xmlns:x14="http://schemas.microsoft.com/office/spreadsheetml/2009/9/main" uri="{F057638F-6D5F-4e77-A914-E7F072B9BCA8}">
        <x14:sourceConnection name="ThisWorkbookDataModel"/>
      </ext>
    </extLst>
  </cacheSource>
  <cacheFields count="0"/>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94950910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4305554" backgroundQuery="1" createdVersion="8" refreshedVersion="8" minRefreshableVersion="3" recordCount="0" supportSubquery="1" supportAdvancedDrill="1" xr:uid="{9E4763FC-9214-4CAA-86B4-41E43615A51C}">
  <cacheSource type="external" connectionId="8">
    <extLst>
      <ext xmlns:x14="http://schemas.microsoft.com/office/spreadsheetml/2009/9/main" uri="{F057638F-6D5F-4e77-A914-E7F072B9BCA8}">
        <x14:sourceConnection name="ThisWorkbookDataModel"/>
      </ext>
    </extLst>
  </cacheSource>
  <cacheFields count="4">
    <cacheField name="[Department s Info].[الموقع].[الموقع]" caption="الموقع" numFmtId="0" hierarchy="4" level="1">
      <sharedItems count="3">
        <s v="الاسكندرية"/>
        <s v="القاهرة"/>
        <s v="طنطا"/>
      </sharedItems>
    </cacheField>
    <cacheField name="[Measures].[Average of Total Average]" caption="Average of Total Average" numFmtId="0" hierarchy="21" level="32767"/>
    <cacheField name="[Measures].[Average of Delta]" caption="Average of Delta" numFmtId="0" hierarchy="20"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3"/>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pivotCacheId="3428467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26.801174537039" backgroundQuery="1" createdVersion="8" refreshedVersion="8" minRefreshableVersion="3" recordCount="0" supportSubquery="1" supportAdvancedDrill="1" xr:uid="{6291A5C3-3A32-4161-BF47-6B3BCAA11CA9}">
  <cacheSource type="external" connectionId="8">
    <extLst>
      <ext xmlns:x14="http://schemas.microsoft.com/office/spreadsheetml/2009/9/main" uri="{F057638F-6D5F-4e77-A914-E7F072B9BCA8}">
        <x14:sourceConnection name="ThisWorkbookDataModel"/>
      </ext>
    </extLst>
  </cacheSource>
  <cacheFields count="4">
    <cacheField name="[Department s Info].[الموقع].[الموقع]" caption="الموقع" numFmtId="0" hierarchy="4" level="1">
      <sharedItems count="3">
        <s v="الاسكندرية"/>
        <s v="القاهرة"/>
        <s v="طنطا"/>
      </sharedItems>
    </cacheField>
    <cacheField name="[Measures].[Average of Total Average]" caption="Average of Total Average" numFmtId="0" hierarchy="21" level="32767"/>
    <cacheField name="[Measures].[Average of Delta]" caption="Average of Delta" numFmtId="0" hierarchy="20" level="32767"/>
    <cacheField name="[Department s Info].[المؤهل الدراسي].[المؤهل الدراسي]" caption="المؤهل الدراسي" numFmtId="0" hierarchy="9" level="1">
      <sharedItems containsSemiMixedTypes="0" containsNonDate="0" containsString="0"/>
    </cacheField>
  </cacheFields>
  <cacheHierarchies count="31">
    <cacheHierarchy uniqueName="[Department s Info].[المسلسل]" caption="المسلسل" attribute="1" defaultMemberUniqueName="[Department s Info].[المسلسل].[All]" allUniqueName="[Department s Info].[المسلسل].[All]" dimensionUniqueName="[Department s Info]" displayFolder="" count="0" memberValueDatatype="20" unbalanced="0"/>
    <cacheHierarchy uniqueName="[Department s Info].[الرقم الوظيفي]" caption="الرقم الوظيفي" attribute="1" defaultMemberUniqueName="[Department s Info].[الرقم الوظيفي].[All]" allUniqueName="[Department s Info].[الرقم الوظيفي].[All]" dimensionUniqueName="[Department s Info]" displayFolder="" count="0" memberValueDatatype="20" unbalanced="0"/>
    <cacheHierarchy uniqueName="[Department s Info].[اسم الموظف]" caption="اسم الموظف" attribute="1" defaultMemberUniqueName="[Department s Info].[اسم الموظف].[All]" allUniqueName="[Department s Info].[اسم الموظف].[All]" dimensionUniqueName="[Department s Info]" displayFolder="" count="0" memberValueDatatype="130" unbalanced="0"/>
    <cacheHierarchy uniqueName="[Department s Info].[الوظيفة]" caption="الوظيفة" attribute="1" defaultMemberUniqueName="[Department s Info].[الوظيفة].[All]" allUniqueName="[Department s Info].[الوظيفة].[All]" dimensionUniqueName="[Department s Info]" displayFolder="" count="2" memberValueDatatype="130" unbalanced="0"/>
    <cacheHierarchy uniqueName="[Department s Info].[الموقع]" caption="الموقع" attribute="1" defaultMemberUniqueName="[Department s Info].[الموقع].[All]" allUniqueName="[Department s Info].[الموقع].[All]" dimensionUniqueName="[Department s Info]" displayFolder="" count="2" memberValueDatatype="130" unbalanced="0">
      <fieldsUsage count="2">
        <fieldUsage x="-1"/>
        <fieldUsage x="0"/>
      </fieldsUsage>
    </cacheHierarchy>
    <cacheHierarchy uniqueName="[Department s Info].[تاريخ التعيين]" caption="تاريخ التعيين" attribute="1" time="1" defaultMemberUniqueName="[Department s Info].[تاريخ التعيين].[All]" allUniqueName="[Department s Info].[تاريخ التعيين].[All]" dimensionUniqueName="[Department s Info]" displayFolder="" count="0" memberValueDatatype="7" unbalanced="0"/>
    <cacheHierarchy uniqueName="[Department s Info].[سنوات الخبرة]" caption="سنوات الخبرة" attribute="1" defaultMemberUniqueName="[Department s Info].[سنوات الخبرة].[All]" allUniqueName="[Department s Info].[سنوات الخبرة].[All]" dimensionUniqueName="[Department s Info]" displayFolder="" count="0" memberValueDatatype="20" unbalanced="0"/>
    <cacheHierarchy uniqueName="[Department s Info].[تاريخ الميلاد]" caption="تاريخ الميلاد" attribute="1" time="1" defaultMemberUniqueName="[Department s Info].[تاريخ الميلاد].[All]" allUniqueName="[Department s Info].[تاريخ الميلاد].[All]" dimensionUniqueName="[Department s Info]" displayFolder="" count="0" memberValueDatatype="7" unbalanced="0"/>
    <cacheHierarchy uniqueName="[Department s Info].[العمر]" caption="العمر" attribute="1" defaultMemberUniqueName="[Department s Info].[العمر].[All]" allUniqueName="[Department s Info].[العمر].[All]" dimensionUniqueName="[Department s Info]" displayFolder="" count="0" memberValueDatatype="20" unbalanced="0"/>
    <cacheHierarchy uniqueName="[Department s Info].[المؤهل الدراسي]" caption="المؤهل الدراسي" attribute="1" defaultMemberUniqueName="[Department s Info].[المؤهل الدراسي].[All]" allUniqueName="[Department s Info].[المؤهل الدراسي].[All]" dimensionUniqueName="[Department s Info]" displayFolder="" count="2" memberValueDatatype="130" unbalanced="0">
      <fieldsUsage count="2">
        <fieldUsage x="-1"/>
        <fieldUsage x="3"/>
      </fieldsUsage>
    </cacheHierarchy>
    <cacheHierarchy uniqueName="[Department s Info].[الراتب]" caption="الراتب" attribute="1" defaultMemberUniqueName="[Department s Info].[الراتب].[All]" allUniqueName="[Department s Info].[الراتب].[All]" dimensionUniqueName="[Department s Info]" displayFolder="" count="0" memberValueDatatype="20" unbalanced="0"/>
    <cacheHierarchy uniqueName="[Department s Info].[PER 2019]" caption="PER 2019" attribute="1" defaultMemberUniqueName="[Department s Info].[PER 2019].[All]" allUniqueName="[Department s Info].[PER 2019].[All]" dimensionUniqueName="[Department s Info]" displayFolder="" count="0" memberValueDatatype="5" unbalanced="0"/>
    <cacheHierarchy uniqueName="[Department s Info].[PER 2020]" caption="PER 2020" attribute="1" defaultMemberUniqueName="[Department s Info].[PER 2020].[All]" allUniqueName="[Department s Info].[PER 2020].[All]" dimensionUniqueName="[Department s Info]" displayFolder="" count="0" memberValueDatatype="5" unbalanced="0"/>
    <cacheHierarchy uniqueName="[Department s Info].[Total Average]" caption="Total Average" attribute="1" defaultMemberUniqueName="[Department s Info].[Total Average].[All]" allUniqueName="[Department s Info].[Total Average].[All]" dimensionUniqueName="[Department s Info]" displayFolder="" count="0" memberValueDatatype="5" unbalanced="0"/>
    <cacheHierarchy uniqueName="[Department s Info].[Delta]" caption="Delta" attribute="1" defaultMemberUniqueName="[Department s Info].[Delta].[All]" allUniqueName="[Department s Info].[Delta].[All]" dimensionUniqueName="[Department s Info]" displayFolder="" count="0" memberValueDatatype="5" unbalanced="0"/>
    <cacheHierarchy uniqueName="[Measures].[__XL_Count Department s Info]" caption="__XL_Count Department s Info" measure="1" displayFolder="" measureGroup="Department s Info" count="0" hidden="1"/>
    <cacheHierarchy uniqueName="[Measures].[__No measures defined]" caption="__No measures defined" measure="1" displayFolder="" count="0" hidden="1"/>
    <cacheHierarchy uniqueName="[Measures].[Sum of المسلسل]" caption="Sum of المسلسل" measure="1" displayFolder="" measureGroup="Department s Info" count="0" hidden="1">
      <extLst>
        <ext xmlns:x15="http://schemas.microsoft.com/office/spreadsheetml/2010/11/main" uri="{B97F6D7D-B522-45F9-BDA1-12C45D357490}">
          <x15:cacheHierarchy aggregatedColumn="0"/>
        </ext>
      </extLst>
    </cacheHierarchy>
    <cacheHierarchy uniqueName="[Measures].[Sum of Delta]" caption="Sum of Delta" measure="1" displayFolder="" measureGroup="Department s Info" count="0" hidden="1">
      <extLst>
        <ext xmlns:x15="http://schemas.microsoft.com/office/spreadsheetml/2010/11/main" uri="{B97F6D7D-B522-45F9-BDA1-12C45D357490}">
          <x15:cacheHierarchy aggregatedColumn="14"/>
        </ext>
      </extLst>
    </cacheHierarchy>
    <cacheHierarchy uniqueName="[Measures].[Sum of Total Average]" caption="Sum of Total Average" measure="1" displayFolder="" measureGroup="Department s Info" count="0" hidden="1">
      <extLst>
        <ext xmlns:x15="http://schemas.microsoft.com/office/spreadsheetml/2010/11/main" uri="{B97F6D7D-B522-45F9-BDA1-12C45D357490}">
          <x15:cacheHierarchy aggregatedColumn="13"/>
        </ext>
      </extLst>
    </cacheHierarchy>
    <cacheHierarchy uniqueName="[Measures].[Average of Delta]" caption="Average of Delta" measure="1" displayFolder="" measureGroup="Department s Info"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Total Average]" caption="Average of Total Average" measure="1" displayFolder="" measureGroup="Department s Info"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سنوات الخبرة]" caption="Sum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Average of سنوات الخبرة]" caption="Average of سنوات الخبرة" measure="1" displayFolder="" measureGroup="Department s Info" count="0" hidden="1">
      <extLst>
        <ext xmlns:x15="http://schemas.microsoft.com/office/spreadsheetml/2010/11/main" uri="{B97F6D7D-B522-45F9-BDA1-12C45D357490}">
          <x15:cacheHierarchy aggregatedColumn="6"/>
        </ext>
      </extLst>
    </cacheHierarchy>
    <cacheHierarchy uniqueName="[Measures].[Sum of العمر]" caption="Sum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Average of العمر]" caption="Average of العمر" measure="1" displayFolder="" measureGroup="Department s Info" count="0" hidden="1">
      <extLst>
        <ext xmlns:x15="http://schemas.microsoft.com/office/spreadsheetml/2010/11/main" uri="{B97F6D7D-B522-45F9-BDA1-12C45D357490}">
          <x15:cacheHierarchy aggregatedColumn="8"/>
        </ext>
      </extLst>
    </cacheHierarchy>
    <cacheHierarchy uniqueName="[Measures].[Sum of الراتب]" caption="Sum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ax of الراتب]" caption="Max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Average of الراتب]" caption="Average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Min of الراتب]" caption="Min of الراتب" measure="1" displayFolder="" measureGroup="Department s Info" count="0" hidden="1">
      <extLst>
        <ext xmlns:x15="http://schemas.microsoft.com/office/spreadsheetml/2010/11/main" uri="{B97F6D7D-B522-45F9-BDA1-12C45D357490}">
          <x15:cacheHierarchy aggregatedColumn="10"/>
        </ext>
      </extLst>
    </cacheHierarchy>
    <cacheHierarchy uniqueName="[Measures].[Count of اسم الموظف]" caption="Count of اسم الموظف" measure="1" displayFolder="" measureGroup="Department s Info" count="0" hidden="1">
      <extLst>
        <ext xmlns:x15="http://schemas.microsoft.com/office/spreadsheetml/2010/11/main" uri="{B97F6D7D-B522-45F9-BDA1-12C45D357490}">
          <x15:cacheHierarchy aggregatedColumn="2"/>
        </ext>
      </extLst>
    </cacheHierarchy>
  </cacheHierarchies>
  <kpis count="0"/>
  <dimensions count="2">
    <dimension name="Department s Info" uniqueName="[Department s Info]" caption="Department s Info"/>
    <dimension measure="1" name="Measures" uniqueName="[Measures]" caption="Measures"/>
  </dimensions>
  <measureGroups count="1">
    <measureGroup name="Department s Info" caption="Department s Info"/>
  </measureGroups>
  <maps count="1">
    <map measureGroup="0" dimension="0"/>
  </maps>
  <extLst>
    <ext xmlns:x14="http://schemas.microsoft.com/office/spreadsheetml/2009/9/main" uri="{725AE2AE-9491-48be-B2B4-4EB974FC3084}">
      <x14:pivotCacheDefinition pivotCacheId="5199270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E7D780-B930-4CDC-BC87-20333F0C43A7}" name="PivotChartTable1" cacheId="3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erage of Total Average" fld="1" subtotal="average" baseField="0" baseItem="0"/>
    <dataField name="Average of Delta" fld="2"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Delta"/>
    <pivotHierarchy dragToData="1" caption="Average of Total Average"/>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2" cacheId="342846754">
        <x15:pivotRow count="2">
          <x15:c>
            <x15:v>0.73739130434782607</x15:v>
          </x15:c>
          <x15:c>
            <x15:v>-0.15956521739130439</x15:v>
          </x15:c>
        </x15:pivotRow>
        <x15:pivotRow count="2">
          <x15:c>
            <x15:v>0.79611111111111121</x15:v>
          </x15:c>
          <x15:c>
            <x15:v>-4.7222222222222228E-2</x15:v>
          </x15:c>
        </x15:pivotRow>
        <x15:pivotRow count="2">
          <x15:c>
            <x15:v>0.77444444444444427</x15:v>
          </x15:c>
          <x15:c>
            <x15:v>-8.7777777777777788E-2</x15:v>
          </x15:c>
        </x15:pivotRow>
        <x15:pivotRow count="2">
          <x15:c>
            <x15:v>0.7652000000000001</x15:v>
          </x15:c>
          <x15:c>
            <x15:v>-0.10619999999999996</x15:v>
          </x15:c>
        </x15:pivotRow>
      </x15:pivotTableData>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7D780-B930-4CDC-BC87-20333F0C43A7}" name="PivotChartTable4" cacheId="3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Total AVG." fld="1" subtotal="average" baseField="0" baseItem="0"/>
    <dataField name="AVG.Performance" fld="2"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G.Performance"/>
    <pivotHierarchy dragToData="1" caption="Total AVG."/>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2" cacheId="519927051">
        <x15:pivotRow count="2">
          <x15:c>
            <x15:v>0.73739130434782607</x15:v>
          </x15:c>
          <x15:c>
            <x15:v>-0.15956521739130439</x15:v>
          </x15:c>
        </x15:pivotRow>
        <x15:pivotRow count="2">
          <x15:c>
            <x15:v>0.79611111111111121</x15:v>
          </x15:c>
          <x15:c>
            <x15:v>-4.7222222222222228E-2</x15:v>
          </x15:c>
        </x15:pivotRow>
        <x15:pivotRow count="2">
          <x15:c>
            <x15:v>0.77444444444444427</x15:v>
          </x15:c>
          <x15:c>
            <x15:v>-8.7777777777777788E-2</x15:v>
          </x15:c>
        </x15:pivotRow>
        <x15:pivotRow count="2">
          <x15:c>
            <x15:v>0.7652000000000001</x15:v>
          </x15:c>
          <x15:c>
            <x15:v>-0.10619999999999996</x15:v>
          </x15:c>
        </x15:pivotRow>
      </x15:pivotTableData>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EF323-A774-4A2F-AECA-A7EBF3CC9E6B}" name="PivotTable7" cacheId="286" applyNumberFormats="0" applyBorderFormats="0" applyFontFormats="0" applyPatternFormats="0" applyAlignmentFormats="0" applyWidthHeightFormats="1" dataCaption="Values" tag="d13b1453-b089-4501-a63e-9320e39f9302" updatedVersion="8" minRefreshableVersion="3" useAutoFormatting="1" rowGrandTotals="0" colGrandTotals="0" itemPrintTitles="1" createdVersion="8" indent="0" outline="1" outlineData="1" multipleFieldFilters="0" chartFormat="11">
  <location ref="N1:Q15"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x v="12"/>
    </i>
  </rowItems>
  <colFields count="1">
    <field x="0"/>
  </colFields>
  <colItems count="3">
    <i>
      <x/>
    </i>
    <i>
      <x v="1"/>
    </i>
    <i>
      <x v="2"/>
    </i>
  </colItems>
  <dataFields count="1">
    <dataField name="Sum of الراتب" fld="1" baseField="2" baseItem="0" numFmtId="167"/>
  </dataFields>
  <formats count="1">
    <format dxfId="50">
      <pivotArea outline="0" collapsedLevelsAreSubtotals="1" fieldPosition="0"/>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series="1">
      <pivotArea type="data" outline="0" fieldPosition="0">
        <references count="2">
          <reference field="4294967294" count="1" selected="0">
            <x v="0"/>
          </reference>
          <reference field="0" count="1" selected="0">
            <x v="1"/>
          </reference>
        </references>
      </pivotArea>
    </chartFormat>
    <chartFormat chart="6" format="9" series="1">
      <pivotArea type="data" outline="0" fieldPosition="0">
        <references count="2">
          <reference field="4294967294" count="1" selected="0">
            <x v="0"/>
          </reference>
          <reference field="0" count="1" selected="0">
            <x v="2"/>
          </reference>
        </references>
      </pivotArea>
    </chartFormat>
    <chartFormat chart="6" format="1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سنوات الخبرة"/>
    <pivotHierarchy dragToData="1"/>
    <pivotHierarchy dragToData="1" caption="Average of العمر"/>
    <pivotHierarchy dragToData="1" caption="Sum of الراتب"/>
    <pivotHierarchy dragToData="1" caption="Max of الراتب"/>
    <pivotHierarchy dragToData="1" caption="Average of الراتب"/>
    <pivotHierarchy dragToData="1" caption="Min of الراتب"/>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EF877-7D6B-43E6-B216-04E168307B6E}" name="PivotTable11" cacheId="298" applyNumberFormats="0" applyBorderFormats="0" applyFontFormats="0" applyPatternFormats="0" applyAlignmentFormats="0" applyWidthHeightFormats="1" dataCaption="Values" tag="385de774-fb9a-4d4f-851d-450c33800112" updatedVersion="8" minRefreshableVersion="3" useAutoFormatting="1" rowGrandTotals="0" colGrandTotals="0" itemPrintTitles="1" createdVersion="8" indent="0" outline="1" outlineData="1" multipleFieldFilters="0" chartFormat="15">
  <location ref="X8:Y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الراتب" fld="1" baseField="0" baseItem="1" numFmtId="164"/>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0" count="1" selected="0">
            <x v="0"/>
          </reference>
        </references>
      </pivotArea>
    </chartFormat>
    <chartFormat chart="11" format="18">
      <pivotArea type="data" outline="0" fieldPosition="0">
        <references count="2">
          <reference field="4294967294" count="1" selected="0">
            <x v="0"/>
          </reference>
          <reference field="0" count="1" selected="0">
            <x v="1"/>
          </reference>
        </references>
      </pivotArea>
    </chartFormat>
    <chartFormat chart="11" format="19">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سنوات الخبرة"/>
    <pivotHierarchy dragToData="1"/>
    <pivotHierarchy dragToData="1" caption="Average of العمر"/>
    <pivotHierarchy dragToData="1" caption="Sum of الراتب"/>
    <pivotHierarchy dragToData="1" caption="Max of الراتب"/>
    <pivotHierarchy dragToData="1" caption="Average of الراتب"/>
    <pivotHierarchy dragToData="1" caption="Min of الراتب"/>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3FBF90-0D04-4A6C-8B1E-3AD466E91A25}" name="PivotTable3" cacheId="295" applyNumberFormats="0" applyBorderFormats="0" applyFontFormats="0" applyPatternFormats="0" applyAlignmentFormats="0" applyWidthHeightFormats="1" dataCaption="Values" tag="25264fec-cbab-4c04-b138-b6cc10f5e5c3" updatedVersion="8" minRefreshableVersion="3" useAutoFormatting="1" itemPrintTitles="1" createdVersion="8" indent="0" outline="1" outlineData="1" multipleFieldFilters="0">
  <location ref="A1:C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erage of Delta" fld="1" subtotal="average" baseField="0" baseItem="1" numFmtId="9"/>
    <dataField name="Average of Total Average" fld="2" subtotal="average" baseField="0" baseItem="0" numFmtId="9"/>
  </dataFields>
  <formats count="3">
    <format dxfId="53">
      <pivotArea collapsedLevelsAreSubtotals="1" fieldPosition="0">
        <references count="1">
          <reference field="0" count="0"/>
        </references>
      </pivotArea>
    </format>
    <format dxfId="52">
      <pivotArea outline="0" fieldPosition="0">
        <references count="1">
          <reference field="4294967294" count="1">
            <x v="0"/>
          </reference>
        </references>
      </pivotArea>
    </format>
    <format dxfId="51">
      <pivotArea outline="0" fieldPosition="0">
        <references count="1">
          <reference field="4294967294" count="1">
            <x v="1"/>
          </reference>
        </references>
      </pivotArea>
    </format>
  </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Delta"/>
    <pivotHierarchy dragToData="1" caption="Average of Total Aver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1CE9FD-F18A-42CB-9B54-E73A7E3DFE4A}" name="PivotTable9" cacheId="283" applyNumberFormats="0" applyBorderFormats="0" applyFontFormats="0" applyPatternFormats="0" applyAlignmentFormats="0" applyWidthHeightFormats="1" dataCaption="Values" tag="03abcf9c-6b18-40a5-9a88-0897d1bd28cf" updatedVersion="8" minRefreshableVersion="3" useAutoFormatting="1" rowGrandTotals="0" colGrandTotals="0" itemPrintTitles="1" createdVersion="8" indent="0" outline="1" outlineData="1" multipleFieldFilters="0" chartFormat="7">
  <location ref="S1:V15"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x v="12"/>
    </i>
  </rowItems>
  <colFields count="1">
    <field x="0"/>
  </colFields>
  <colItems count="3">
    <i>
      <x/>
    </i>
    <i>
      <x v="1"/>
    </i>
    <i>
      <x v="2"/>
    </i>
  </colItems>
  <dataFields count="1">
    <dataField name="Count of اسم الموظف" fld="2" subtotal="count"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2"/>
          </reference>
        </references>
      </pivotArea>
    </chartFormat>
    <chartFormat chart="3" format="1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سنوات الخبرة"/>
    <pivotHierarchy dragToData="1"/>
    <pivotHierarchy dragToData="1" caption="Average of العمر"/>
    <pivotHierarchy dragToData="1" caption="Sum of الراتب"/>
    <pivotHierarchy dragToData="1" caption="Max of الراتب"/>
    <pivotHierarchy dragToData="1" caption="Average of الراتب"/>
    <pivotHierarchy dragToData="1" caption="Min of الراتب"/>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4F0500-F07C-4B33-9126-A0CD2FB0F5DC}" name="PivotTable10" cacheId="301" applyNumberFormats="0" applyBorderFormats="0" applyFontFormats="0" applyPatternFormats="0" applyAlignmentFormats="0" applyWidthHeightFormats="1" dataCaption="Values" tag="074052b8-f829-4a28-a260-9ae6d7fcbfda" updatedVersion="8" minRefreshableVersion="3" useAutoFormatting="1" rowGrandTotals="0" colGrandTotals="0" itemPrintTitles="1" createdVersion="8" indent="0" outline="1" outlineData="1" multipleFieldFilters="0" chartFormat="13">
  <location ref="X1:Y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اسم الموظف"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سنوات الخبرة"/>
    <pivotHierarchy dragToData="1"/>
    <pivotHierarchy dragToData="1" caption="Average of العمر"/>
    <pivotHierarchy dragToData="1" caption="Sum of الراتب"/>
    <pivotHierarchy dragToData="1" caption="Max of الراتب"/>
    <pivotHierarchy dragToData="1" caption="Average of الراتب"/>
    <pivotHierarchy dragToData="1" caption="Min of الراتب"/>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8AE9A-0B1A-4BC2-BEE9-FED0F4B9790B}" name="PivotTable6" cacheId="289" applyNumberFormats="0" applyBorderFormats="0" applyFontFormats="0" applyPatternFormats="0" applyAlignmentFormats="0" applyWidthHeightFormats="1" dataCaption="Values" tag="9fdc2e61-dde8-4b5f-96aa-e9ba50cc2e99" updatedVersion="8" minRefreshableVersion="3" useAutoFormatting="1" itemPrintTitles="1" createdVersion="8" indent="0" outline="1" outlineData="1" multipleFieldFilters="0" chartFormat="12">
  <location ref="I1:L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MAX Salary" fld="1" subtotal="max" baseField="0" baseItem="0"/>
    <dataField name="AVG.Salary" fld="2" subtotal="average" baseField="0" baseItem="0" numFmtId="2"/>
    <dataField name="Min of Salary" fld="3" subtotal="min" baseField="0" baseItem="0"/>
  </dataFields>
  <formats count="1">
    <format dxfId="54">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سنوات الخبرة"/>
    <pivotHierarchy dragToData="1"/>
    <pivotHierarchy dragToData="1" caption="Average of العمر"/>
    <pivotHierarchy dragToData="1"/>
    <pivotHierarchy dragToData="1" caption="MAX Salary"/>
    <pivotHierarchy dragToData="1" caption="AVG.Salary"/>
    <pivotHierarchy dragToData="1" caption="Min of Salary"/>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A2D4EE-06DF-4BC5-B6AF-71A3033B9FB9}" name="PivotTable4" cacheId="292" applyNumberFormats="0" applyBorderFormats="0" applyFontFormats="0" applyPatternFormats="0" applyAlignmentFormats="0" applyWidthHeightFormats="1" dataCaption="Values" tag="23761733-ed72-48b6-9d7e-2ffbc5d1a00f" updatedVersion="8" minRefreshableVersion="3" useAutoFormatting="1" itemPrintTitles="1" createdVersion="8" indent="0" outline="1" outlineData="1" multipleFieldFilters="0" chartFormat="13">
  <location ref="E1:G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G.Experience" fld="1" subtotal="average" baseField="0" baseItem="0" numFmtId="1"/>
    <dataField name="AVG.Age" fld="2"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Experience"/>
    <pivotHierarchy dragToData="1"/>
    <pivotHierarchy dragToData="1" caption="AVG.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48576A-5A68-4444-A1ED-CEF79AD4424C}" name="PivotTable12" cacheId="304" applyNumberFormats="0" applyBorderFormats="0" applyFontFormats="0" applyPatternFormats="0" applyAlignmentFormats="0" applyWidthHeightFormats="1" dataCaption="Values" tag="c12bfdb6-2ab8-4a90-b4e2-c5c02fdf4d1a" updatedVersion="8" minRefreshableVersion="3" useAutoFormatting="1" rowGrandTotals="0" colGrandTotals="0" itemPrintTitles="1" createdVersion="8" indent="0" outline="1" outlineData="1" multipleFieldFilters="0" chartFormat="9">
  <location ref="AA1:AD5"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Fields count="1">
    <field x="0"/>
  </colFields>
  <colItems count="3">
    <i>
      <x/>
    </i>
    <i>
      <x v="1"/>
    </i>
    <i>
      <x v="2"/>
    </i>
  </colItems>
  <dataFields count="1">
    <dataField name="Count of اسم الموظف" fld="2" subtotal="count"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2"/>
          </reference>
        </references>
      </pivotArea>
    </chartFormat>
    <chartFormat chart="5" format="7" series="1">
      <pivotArea type="data" outline="0" fieldPosition="0">
        <references count="2">
          <reference field="4294967294" count="1" selected="0">
            <x v="0"/>
          </reference>
          <reference field="0" count="1" selected="0">
            <x v="0"/>
          </reference>
        </references>
      </pivotArea>
    </chartFormat>
    <chartFormat chart="5" format="8" series="1">
      <pivotArea type="data" outline="0" fieldPosition="0">
        <references count="2">
          <reference field="4294967294" count="1" selected="0">
            <x v="0"/>
          </reference>
          <reference field="0" count="1" selected="0">
            <x v="1"/>
          </reference>
        </references>
      </pivotArea>
    </chartFormat>
    <chartFormat chart="5" format="9" series="1">
      <pivotArea type="data" outline="0" fieldPosition="0">
        <references count="2">
          <reference field="4294967294" count="1" selected="0">
            <x v="0"/>
          </reference>
          <reference field="0" count="1" selected="0">
            <x v="2"/>
          </reference>
        </references>
      </pivotArea>
    </chartFormat>
    <chartFormat chart="5" format="1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سنوات الخبرة"/>
    <pivotHierarchy dragToData="1"/>
    <pivotHierarchy dragToData="1" caption="Average of العمر"/>
    <pivotHierarchy dragToData="1" caption="Sum of الراتب"/>
    <pivotHierarchy dragToData="1" caption="Max of الراتب"/>
    <pivotHierarchy dragToData="1" caption="Average of الراتب"/>
    <pivotHierarchy dragToData="1" caption="Min of الراتب"/>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s Inf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A3B505D-9117-4CF4-9BAF-B085DAE2FD54}" autoFormatId="16" applyNumberFormats="0" applyBorderFormats="0" applyFontFormats="0" applyPatternFormats="0" applyAlignmentFormats="0" applyWidthHeightFormats="0">
  <queryTableRefresh nextId="18">
    <queryTableFields count="15">
      <queryTableField id="1" name="المسلسل" tableColumnId="1"/>
      <queryTableField id="2" name="الرقم الوظيفي" tableColumnId="2"/>
      <queryTableField id="3" name="اسم الموظف" tableColumnId="3"/>
      <queryTableField id="4" name="الوظيفة" tableColumnId="4"/>
      <queryTableField id="5" name="الموقع" tableColumnId="5"/>
      <queryTableField id="6" name="تاريخ التعيين" tableColumnId="6"/>
      <queryTableField id="12" name="سنوات الخبرة" tableColumnId="12"/>
      <queryTableField id="7" name="تاريخ الميلاد" tableColumnId="7"/>
      <queryTableField id="13" name="العمر" tableColumnId="13"/>
      <queryTableField id="8" name="المؤهل الدراسي" tableColumnId="8"/>
      <queryTableField id="9" name="الراتب" tableColumnId="9"/>
      <queryTableField id="10" name="PER 2019" tableColumnId="10"/>
      <queryTableField id="11" name="PER 2020" tableColumnId="11"/>
      <queryTableField id="14" name="Total Average" tableColumnId="14"/>
      <queryTableField id="15" name="Delta" tableColumnId="15"/>
    </queryTableFields>
  </queryTableRefresh>
  <extLst>
    <ext xmlns:x15="http://schemas.microsoft.com/office/spreadsheetml/2010/11/main" uri="{883FBD77-0823-4a55-B5E3-86C4891E6966}">
      <x15:queryTable sourceDataName="Query - Department's Info"/>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1" xr10:uid="{33766276-A699-45A8-9D59-90F809C46908}" sourceName="[Department s Info].[الوظيفة]">
  <pivotTables>
    <pivotTable tabId="4" name="PivotTable9"/>
    <pivotTable tabId="4" name="PivotTable7"/>
    <pivotTable tabId="4" name="PivotTable6"/>
    <pivotTable tabId="4" name="PivotTable4"/>
    <pivotTable tabId="4" name="PivotTable3"/>
    <pivotTable tabId="4" name="PivotTable11"/>
    <pivotTable tabId="4" name="PivotTable10"/>
    <pivotTable tabId="4" name="PivotTable12"/>
  </pivotTables>
  <data>
    <olap pivotCacheId="949509105">
      <levels count="2">
        <level uniqueName="[Department s Info].[الوظيفة].[(All)]" sourceCaption="(All)" count="0"/>
        <level uniqueName="[Department s Info].[الوظيفة].[الوظيفة]" sourceCaption="الوظيفة" count="13">
          <ranges>
            <range startItem="0">
              <i n="[Department s Info].[الوظيفة].&amp;[Accountant]" c="Accountant"/>
              <i n="[Department s Info].[الوظيفة].&amp;[Digital marketing specialist]" c="Digital marketing specialist"/>
              <i n="[Department s Info].[الوظيفة].&amp;[Financial Manager]" c="Financial Manager"/>
              <i n="[Department s Info].[الوظيفة].&amp;[HR Coordinator]" c="HR Coordinator"/>
              <i n="[Department s Info].[الوظيفة].&amp;[HR Manager]" c="HR Manager"/>
              <i n="[Department s Info].[الوظيفة].&amp;[HR Specialist]" c="HR Specialist"/>
              <i n="[Department s Info].[الوظيفة].&amp;[IT Manager]" c="IT Manager"/>
              <i n="[Department s Info].[الوظيفة].&amp;[Marketing Manager]" c="Marketing Manager"/>
              <i n="[Department s Info].[الوظيفة].&amp;[Products Marketing Coordinator]" c="Products Marketing Coordinator"/>
              <i n="[Department s Info].[الوظيفة].&amp;[Recruitment Specialsit]" c="Recruitment Specialsit"/>
              <i n="[Department s Info].[الوظيفة].&amp;[Sales Manager]" c="Sales Manager"/>
              <i n="[Department s Info].[الوظيفة].&amp;[Sales rep.]" c="Sales rep."/>
              <i n="[Department s Info].[الوظيفة].&amp;[Software developer]" c="Software developer"/>
            </range>
          </ranges>
        </level>
      </levels>
      <selections count="1">
        <selection n="[Department s Info].[الوظيفة].[All]"/>
      </selections>
    </olap>
  </data>
  <extLst>
    <x:ext xmlns:x15="http://schemas.microsoft.com/office/spreadsheetml/2010/11/main" uri="{03082B11-2C62-411c-B77F-237D8FCFBE4C}">
      <x15:slicerCachePivotTables>
        <pivotTable tabId="4294967295" name="PivotChartTable1"/>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1" xr10:uid="{4F055AE4-B802-4A9B-A5AE-FDE28D901C6C}" sourceName="[Department s Info].[الموقع]">
  <pivotTables>
    <pivotTable tabId="4" name="PivotTable9"/>
    <pivotTable tabId="4" name="PivotTable7"/>
    <pivotTable tabId="4" name="PivotTable6"/>
    <pivotTable tabId="4" name="PivotTable4"/>
    <pivotTable tabId="4" name="PivotTable3"/>
    <pivotTable tabId="4" name="PivotTable11"/>
    <pivotTable tabId="4" name="PivotTable10"/>
    <pivotTable tabId="4" name="PivotTable12"/>
  </pivotTables>
  <data>
    <olap pivotCacheId="949509105">
      <levels count="2">
        <level uniqueName="[Department s Info].[الموقع].[(All)]" sourceCaption="(All)" count="0"/>
        <level uniqueName="[Department s Info].[الموقع].[الموقع]" sourceCaption="الموقع" count="3">
          <ranges>
            <range startItem="0">
              <i n="[Department s Info].[الموقع].&amp;[الاسكندرية]" c="الاسكندرية"/>
              <i n="[Department s Info].[الموقع].&amp;[القاهرة]" c="القاهرة"/>
              <i n="[Department s Info].[الموقع].&amp;[طنطا]" c="طنطا"/>
            </range>
          </ranges>
        </level>
      </levels>
      <selections count="1">
        <selection n="[Department s Info].[الموقع].[All]"/>
      </selections>
    </olap>
  </data>
  <extLst>
    <x:ext xmlns:x15="http://schemas.microsoft.com/office/spreadsheetml/2010/11/main" uri="{03082B11-2C62-411c-B77F-237D8FCFBE4C}">
      <x15:slicerCachePivotTables>
        <pivotTable tabId="4294967295" name="PivotChartTable1"/>
        <pivotTable tabId="4294967295" name="PivotChartTable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ؤهل_الدراسي1" xr10:uid="{276429A2-DA65-456A-9131-D29D646AB718}" sourceName="[Department s Info].[المؤهل الدراسي]">
  <pivotTables>
    <pivotTable tabId="4" name="PivotTable9"/>
    <pivotTable tabId="4" name="PivotTable7"/>
    <pivotTable tabId="4" name="PivotTable6"/>
    <pivotTable tabId="4" name="PivotTable4"/>
    <pivotTable tabId="4" name="PivotTable3"/>
    <pivotTable tabId="4" name="PivotTable11"/>
    <pivotTable tabId="4" name="PivotTable10"/>
    <pivotTable tabId="4" name="PivotTable12"/>
  </pivotTables>
  <data>
    <olap pivotCacheId="949509105">
      <levels count="2">
        <level uniqueName="[Department s Info].[المؤهل الدراسي].[(All)]" sourceCaption="(All)" count="0"/>
        <level uniqueName="[Department s Info].[المؤهل الدراسي].[المؤهل الدراسي]" sourceCaption="المؤهل الدراسي" count="3">
          <ranges>
            <range startItem="0">
              <i n="[Department s Info].[المؤهل الدراسي].&amp;[بكالوريوس]" c="بكالوريوس"/>
              <i n="[Department s Info].[المؤهل الدراسي].&amp;[دبلوم]" c="دبلوم"/>
              <i n="[Department s Info].[المؤهل الدراسي].&amp;[ماجستير]" c="ماجستير"/>
            </range>
          </ranges>
        </level>
      </levels>
      <selections count="1">
        <selection n="[Department s Info].[المؤهل الدراسي].[All]"/>
      </selections>
    </olap>
  </data>
  <extLst>
    <x:ext xmlns:x15="http://schemas.microsoft.com/office/spreadsheetml/2010/11/main" uri="{03082B11-2C62-411c-B77F-237D8FCFBE4C}">
      <x15:slicerCachePivotTables>
        <pivotTable tabId="4294967295" name="PivotChartTable1"/>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xr10:uid="{80B5A6E4-991E-4180-BB7F-1E9818C9165C}" cache="Slicer_الوظيفة1" caption="الوظيفة" level="1" rowHeight="241300"/>
  <slicer name="الموقع" xr10:uid="{955EE2A3-95BF-4673-A4D9-5525D68F360E}" cache="Slicer_الموقع1" caption="الموقع" level="1" rowHeight="241300"/>
  <slicer name="المؤهل الدراسي" xr10:uid="{ACDC2228-7D4C-410C-9DF6-123BD5C7E009}" cache="Slicer_المؤهل_الدراسي1" caption="المؤهل الدراسي"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1" xr10:uid="{19689A7B-0D68-4BB2-BFAD-E5DE8C300C79}" cache="Slicer_الوظيفة1" caption="الوظيفة" columnCount="2" level="1" style="test1" rowHeight="241300"/>
  <slicer name="الموقع 1" xr10:uid="{E60D2089-695A-4955-872D-6E279A45E9F9}" cache="Slicer_الموقع1" caption="الموقع" level="1" style="test1" rowHeight="241300"/>
  <slicer name="المؤهل الدراسي 1" xr10:uid="{7CF5F515-64BA-40A6-8D2E-AB15F68CD933}" cache="Slicer_المؤهل_الدراسي1" caption="المؤهل الدراسي" level="1" style="tes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2" xr10:uid="{C34DC993-3A75-4529-B23A-D5329E0FE906}" cache="Slicer_الوظيفة1" caption="الوظيفة" columnCount="2" level="1" style="test1" rowHeight="241300"/>
  <slicer name="الموقع 2" xr10:uid="{9774F7B7-6362-4232-B978-B7670805BC46}" cache="Slicer_الموقع1" caption="الموقع" level="1" style="test1" rowHeight="241300"/>
  <slicer name="المؤهل الدراسي 2" xr10:uid="{05ED31A6-0FB8-4511-B7E8-CC7D1DCF29F8}" cache="Slicer_المؤهل_الدراسي1" caption="المؤهل الدراسي" level="1" style="test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F35681-2265-4757-A7F2-0614F9FD0B0A}" name="Department_s_Info" displayName="Department_s_Info" ref="A1:O101" tableType="queryTable" totalsRowShown="0">
  <autoFilter ref="A1:O101" xr:uid="{1AF35681-2265-4757-A7F2-0614F9FD0B0A}"/>
  <tableColumns count="15">
    <tableColumn id="1" xr3:uid="{AD8664CD-BBE6-4C41-876E-8FF3F23495E1}" uniqueName="1" name="المسلسل" queryTableFieldId="1"/>
    <tableColumn id="2" xr3:uid="{FF4C3CBB-0855-4DD2-B9F4-842AED88B72F}" uniqueName="2" name="الرقم الوظيفي" queryTableFieldId="2"/>
    <tableColumn id="3" xr3:uid="{D1574685-F633-4D9D-9666-1715C467183F}" uniqueName="3" name="اسم الموظف" queryTableFieldId="3" dataDxfId="60"/>
    <tableColumn id="4" xr3:uid="{E5B3AB95-3F52-4767-9990-40A5B591570B}" uniqueName="4" name="الوظيفة" queryTableFieldId="4" dataDxfId="59"/>
    <tableColumn id="5" xr3:uid="{67C44864-C9DF-482B-9597-71A9BAED7C73}" uniqueName="5" name="الموقع" queryTableFieldId="5" dataDxfId="58"/>
    <tableColumn id="6" xr3:uid="{A6EC5B66-73F2-4818-83E4-476207CB9B07}" uniqueName="6" name="تاريخ التعيين" queryTableFieldId="6" dataDxfId="57"/>
    <tableColumn id="12" xr3:uid="{99619B95-4451-4D67-9BB6-ADB0CA244240}" uniqueName="12" name="سنوات الخبرة" queryTableFieldId="12"/>
    <tableColumn id="7" xr3:uid="{0A8AAB26-3EBF-4E14-8539-EA9B984A4A26}" uniqueName="7" name="تاريخ الميلاد" queryTableFieldId="7" dataDxfId="56"/>
    <tableColumn id="13" xr3:uid="{87F4B725-CD39-4A0C-AC5D-924C0DADFFEF}" uniqueName="13" name="العمر" queryTableFieldId="13"/>
    <tableColumn id="8" xr3:uid="{87F57076-B881-4E26-B42D-A7A71A6A3D2A}" uniqueName="8" name="المؤهل الدراسي" queryTableFieldId="8" dataDxfId="55"/>
    <tableColumn id="9" xr3:uid="{0E480374-6778-4351-A541-1CC344008E5E}" uniqueName="9" name="الراتب" queryTableFieldId="9"/>
    <tableColumn id="10" xr3:uid="{9E4B0CF2-4C4A-49E3-A3CF-8B741211A47E}" uniqueName="10" name="PER 2019" queryTableFieldId="10"/>
    <tableColumn id="11" xr3:uid="{60A9A8D5-777B-4654-9ED7-B1CDB43709D5}" uniqueName="11" name="PER 2020" queryTableFieldId="11"/>
    <tableColumn id="14" xr3:uid="{922A8B57-1DB8-49D7-8D19-7BB340AF8746}" uniqueName="14" name="Total Average" queryTableFieldId="14" dataCellStyle="Percent"/>
    <tableColumn id="15" xr3:uid="{D0A0734F-5FB0-473C-952C-4751B6C232D3}" uniqueName="15" name="Delta" queryTableFieldId="15"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1.xml"/><Relationship Id="rId4" Type="http://schemas.openxmlformats.org/officeDocument/2006/relationships/pivotTable" Target="../pivotTables/pivotTable6.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910D-67E5-4794-96DD-D8246403B502}">
  <sheetPr codeName="Sheet1"/>
  <dimension ref="A1:R101"/>
  <sheetViews>
    <sheetView workbookViewId="0">
      <selection activeCell="P12" sqref="P12"/>
    </sheetView>
  </sheetViews>
  <sheetFormatPr defaultRowHeight="15" x14ac:dyDescent="0.25"/>
  <cols>
    <col min="1" max="1" width="8" bestFit="1" customWidth="1"/>
    <col min="2" max="2" width="10.85546875" bestFit="1" customWidth="1"/>
    <col min="3" max="3" width="14.42578125" bestFit="1" customWidth="1"/>
    <col min="4" max="4" width="29.85546875" bestFit="1" customWidth="1"/>
    <col min="5" max="5" width="8.5703125" bestFit="1" customWidth="1"/>
    <col min="6" max="6" width="10.7109375" bestFit="1" customWidth="1"/>
    <col min="7" max="7" width="10.85546875" bestFit="1" customWidth="1"/>
    <col min="8" max="8" width="10.7109375" bestFit="1" customWidth="1"/>
    <col min="9" max="9" width="5" bestFit="1" customWidth="1"/>
    <col min="10" max="10" width="12.28515625" bestFit="1" customWidth="1"/>
    <col min="11" max="11" width="6" bestFit="1" customWidth="1"/>
    <col min="12" max="13" width="11" customWidth="1"/>
    <col min="14" max="14" width="15.5703125" bestFit="1" customWidth="1"/>
    <col min="15" max="15" width="8" bestFit="1" customWidth="1"/>
    <col min="18" max="19" width="14.7109375" bestFit="1" customWidth="1"/>
  </cols>
  <sheetData>
    <row r="1" spans="1:18" x14ac:dyDescent="0.25">
      <c r="A1" t="s">
        <v>0</v>
      </c>
      <c r="B1" t="s">
        <v>1</v>
      </c>
      <c r="C1" t="s">
        <v>2</v>
      </c>
      <c r="D1" t="s">
        <v>3</v>
      </c>
      <c r="E1" t="s">
        <v>4</v>
      </c>
      <c r="F1" t="s">
        <v>5</v>
      </c>
      <c r="G1" t="s">
        <v>70</v>
      </c>
      <c r="H1" t="s">
        <v>6</v>
      </c>
      <c r="I1" t="s">
        <v>71</v>
      </c>
      <c r="J1" t="s">
        <v>7</v>
      </c>
      <c r="K1" t="s">
        <v>8</v>
      </c>
      <c r="L1" t="s">
        <v>9</v>
      </c>
      <c r="M1" t="s">
        <v>10</v>
      </c>
      <c r="N1" t="s">
        <v>72</v>
      </c>
      <c r="O1" t="s">
        <v>73</v>
      </c>
    </row>
    <row r="2" spans="1:18" x14ac:dyDescent="0.25">
      <c r="A2">
        <v>4</v>
      </c>
      <c r="B2">
        <v>29769</v>
      </c>
      <c r="C2" t="s">
        <v>11</v>
      </c>
      <c r="D2" t="s">
        <v>12</v>
      </c>
      <c r="E2" t="s">
        <v>13</v>
      </c>
      <c r="F2" s="1">
        <v>41499</v>
      </c>
      <c r="G2">
        <v>12</v>
      </c>
      <c r="H2" s="1">
        <v>26494</v>
      </c>
      <c r="I2">
        <v>53</v>
      </c>
      <c r="J2" t="s">
        <v>14</v>
      </c>
      <c r="K2">
        <v>26520</v>
      </c>
      <c r="L2">
        <v>0.81</v>
      </c>
      <c r="M2">
        <v>0.66</v>
      </c>
      <c r="N2" s="7">
        <v>0.7350000000000001</v>
      </c>
      <c r="O2" s="7">
        <v>-0.15</v>
      </c>
    </row>
    <row r="3" spans="1:18" x14ac:dyDescent="0.25">
      <c r="A3">
        <v>12</v>
      </c>
      <c r="B3">
        <v>26401</v>
      </c>
      <c r="C3" t="s">
        <v>15</v>
      </c>
      <c r="D3" t="s">
        <v>16</v>
      </c>
      <c r="E3" t="s">
        <v>13</v>
      </c>
      <c r="F3" s="1">
        <v>42477</v>
      </c>
      <c r="G3">
        <v>9</v>
      </c>
      <c r="H3" s="1">
        <v>25717</v>
      </c>
      <c r="I3">
        <v>55</v>
      </c>
      <c r="J3" t="s">
        <v>17</v>
      </c>
      <c r="K3">
        <v>16455</v>
      </c>
      <c r="L3">
        <v>0.75</v>
      </c>
      <c r="M3">
        <v>0.92</v>
      </c>
      <c r="N3" s="7">
        <v>0.83499999999999996</v>
      </c>
      <c r="O3" s="7">
        <v>0.17</v>
      </c>
    </row>
    <row r="4" spans="1:18" x14ac:dyDescent="0.25">
      <c r="A4">
        <v>13</v>
      </c>
      <c r="B4">
        <v>26435</v>
      </c>
      <c r="C4" t="s">
        <v>18</v>
      </c>
      <c r="D4" t="s">
        <v>16</v>
      </c>
      <c r="E4" t="s">
        <v>19</v>
      </c>
      <c r="F4" s="1">
        <v>37131</v>
      </c>
      <c r="G4">
        <v>24</v>
      </c>
      <c r="H4" s="1">
        <v>22910</v>
      </c>
      <c r="I4">
        <v>63</v>
      </c>
      <c r="J4" t="s">
        <v>17</v>
      </c>
      <c r="K4">
        <v>4981</v>
      </c>
      <c r="L4">
        <v>0.77</v>
      </c>
      <c r="M4">
        <v>0.86</v>
      </c>
      <c r="N4" s="7">
        <v>0.81499999999999995</v>
      </c>
      <c r="O4" s="7">
        <v>0.09</v>
      </c>
    </row>
    <row r="5" spans="1:18" x14ac:dyDescent="0.25">
      <c r="A5">
        <v>33</v>
      </c>
      <c r="B5">
        <v>26410</v>
      </c>
      <c r="C5" t="s">
        <v>20</v>
      </c>
      <c r="D5" t="s">
        <v>16</v>
      </c>
      <c r="E5" t="s">
        <v>19</v>
      </c>
      <c r="F5" s="1">
        <v>42417</v>
      </c>
      <c r="G5">
        <v>9</v>
      </c>
      <c r="H5" s="1">
        <v>27626</v>
      </c>
      <c r="I5">
        <v>50</v>
      </c>
      <c r="J5" t="s">
        <v>17</v>
      </c>
      <c r="K5">
        <v>3165</v>
      </c>
      <c r="L5">
        <v>0.84</v>
      </c>
      <c r="M5">
        <v>0.78</v>
      </c>
      <c r="N5" s="7">
        <v>0.81</v>
      </c>
      <c r="O5" s="7">
        <v>-5.9999999999999901E-2</v>
      </c>
    </row>
    <row r="6" spans="1:18" x14ac:dyDescent="0.25">
      <c r="A6">
        <v>34</v>
      </c>
      <c r="B6">
        <v>27385</v>
      </c>
      <c r="C6" t="s">
        <v>21</v>
      </c>
      <c r="D6" t="s">
        <v>16</v>
      </c>
      <c r="E6" t="s">
        <v>22</v>
      </c>
      <c r="F6" s="1">
        <v>42462</v>
      </c>
      <c r="G6">
        <v>9</v>
      </c>
      <c r="H6" s="1">
        <v>24785</v>
      </c>
      <c r="I6">
        <v>58</v>
      </c>
      <c r="J6" t="s">
        <v>17</v>
      </c>
      <c r="K6">
        <v>20883</v>
      </c>
      <c r="L6">
        <v>0.85</v>
      </c>
      <c r="M6">
        <v>0.76</v>
      </c>
      <c r="N6" s="7">
        <v>0.80499999999999994</v>
      </c>
      <c r="O6" s="7">
        <v>-0.09</v>
      </c>
    </row>
    <row r="7" spans="1:18" x14ac:dyDescent="0.25">
      <c r="A7">
        <v>61</v>
      </c>
      <c r="B7">
        <v>26389</v>
      </c>
      <c r="C7" t="s">
        <v>23</v>
      </c>
      <c r="D7" t="s">
        <v>16</v>
      </c>
      <c r="E7" t="s">
        <v>13</v>
      </c>
      <c r="F7" s="1">
        <v>43071</v>
      </c>
      <c r="G7">
        <v>8</v>
      </c>
      <c r="H7" s="1">
        <v>21695</v>
      </c>
      <c r="I7">
        <v>66</v>
      </c>
      <c r="J7" t="s">
        <v>17</v>
      </c>
      <c r="K7">
        <v>13380</v>
      </c>
      <c r="L7">
        <v>0.8</v>
      </c>
      <c r="M7">
        <v>0.72</v>
      </c>
      <c r="N7" s="7">
        <v>0.76</v>
      </c>
      <c r="O7" s="7">
        <v>-8.0000000000000099E-2</v>
      </c>
    </row>
    <row r="8" spans="1:18" x14ac:dyDescent="0.25">
      <c r="A8">
        <v>62</v>
      </c>
      <c r="B8">
        <v>30459</v>
      </c>
      <c r="C8" t="s">
        <v>24</v>
      </c>
      <c r="D8" t="s">
        <v>16</v>
      </c>
      <c r="E8" t="s">
        <v>19</v>
      </c>
      <c r="F8" s="1">
        <v>43444</v>
      </c>
      <c r="G8">
        <v>7</v>
      </c>
      <c r="H8" s="1">
        <v>25438</v>
      </c>
      <c r="I8">
        <v>56</v>
      </c>
      <c r="J8" t="s">
        <v>17</v>
      </c>
      <c r="K8">
        <v>18856</v>
      </c>
      <c r="L8">
        <v>0.81</v>
      </c>
      <c r="M8">
        <v>0.48</v>
      </c>
      <c r="N8" s="7">
        <v>0.64500000000000002</v>
      </c>
      <c r="O8" s="7">
        <v>-0.33</v>
      </c>
    </row>
    <row r="9" spans="1:18" x14ac:dyDescent="0.25">
      <c r="A9">
        <v>74</v>
      </c>
      <c r="B9">
        <v>27780</v>
      </c>
      <c r="C9" t="s">
        <v>25</v>
      </c>
      <c r="D9" t="s">
        <v>16</v>
      </c>
      <c r="E9" t="s">
        <v>19</v>
      </c>
      <c r="F9" s="1">
        <v>42403</v>
      </c>
      <c r="G9">
        <v>9</v>
      </c>
      <c r="H9" s="1">
        <v>30445</v>
      </c>
      <c r="I9">
        <v>42</v>
      </c>
      <c r="J9" t="s">
        <v>17</v>
      </c>
      <c r="K9">
        <v>13891</v>
      </c>
      <c r="L9">
        <v>0.86</v>
      </c>
      <c r="M9">
        <v>0.97</v>
      </c>
      <c r="N9" s="7">
        <v>0.91500000000000004</v>
      </c>
      <c r="O9" s="7">
        <v>0.11</v>
      </c>
    </row>
    <row r="10" spans="1:18" x14ac:dyDescent="0.25">
      <c r="A10">
        <v>75</v>
      </c>
      <c r="B10">
        <v>25907</v>
      </c>
      <c r="C10" t="s">
        <v>11</v>
      </c>
      <c r="D10" t="s">
        <v>16</v>
      </c>
      <c r="E10" t="s">
        <v>22</v>
      </c>
      <c r="F10" s="1">
        <v>42417</v>
      </c>
      <c r="G10">
        <v>9</v>
      </c>
      <c r="H10" s="1">
        <v>28157</v>
      </c>
      <c r="I10">
        <v>48</v>
      </c>
      <c r="J10" t="s">
        <v>17</v>
      </c>
      <c r="K10">
        <v>19451</v>
      </c>
      <c r="L10">
        <v>0.77</v>
      </c>
      <c r="M10">
        <v>0.63</v>
      </c>
      <c r="N10" s="7">
        <v>0.7</v>
      </c>
      <c r="O10" s="7">
        <v>-0.14000000000000001</v>
      </c>
      <c r="R10" s="7"/>
    </row>
    <row r="11" spans="1:18" x14ac:dyDescent="0.25">
      <c r="A11">
        <v>86</v>
      </c>
      <c r="B11">
        <v>27144</v>
      </c>
      <c r="C11" t="s">
        <v>26</v>
      </c>
      <c r="D11" t="s">
        <v>16</v>
      </c>
      <c r="E11" t="s">
        <v>13</v>
      </c>
      <c r="F11" s="1">
        <v>39102</v>
      </c>
      <c r="G11">
        <v>18</v>
      </c>
      <c r="H11" s="1">
        <v>24807</v>
      </c>
      <c r="I11">
        <v>58</v>
      </c>
      <c r="J11" t="s">
        <v>17</v>
      </c>
      <c r="K11">
        <v>2185</v>
      </c>
      <c r="L11">
        <v>0.79</v>
      </c>
      <c r="M11">
        <v>0.65</v>
      </c>
      <c r="N11" s="7">
        <v>0.72</v>
      </c>
      <c r="O11" s="7">
        <v>-0.14000000000000001</v>
      </c>
    </row>
    <row r="12" spans="1:18" x14ac:dyDescent="0.25">
      <c r="A12">
        <v>1</v>
      </c>
      <c r="B12">
        <v>26434</v>
      </c>
      <c r="C12" t="s">
        <v>27</v>
      </c>
      <c r="D12" t="s">
        <v>28</v>
      </c>
      <c r="E12" t="s">
        <v>22</v>
      </c>
      <c r="F12" s="1">
        <v>39036</v>
      </c>
      <c r="G12">
        <v>19</v>
      </c>
      <c r="H12" s="1">
        <v>29537</v>
      </c>
      <c r="I12">
        <v>45</v>
      </c>
      <c r="J12" t="s">
        <v>17</v>
      </c>
      <c r="K12">
        <v>20500</v>
      </c>
      <c r="L12">
        <v>0.82</v>
      </c>
      <c r="M12">
        <v>0.86</v>
      </c>
      <c r="N12" s="7">
        <v>0.84</v>
      </c>
      <c r="O12" s="7">
        <v>0.04</v>
      </c>
    </row>
    <row r="13" spans="1:18" x14ac:dyDescent="0.25">
      <c r="A13">
        <v>6</v>
      </c>
      <c r="B13">
        <v>27154</v>
      </c>
      <c r="C13" t="s">
        <v>29</v>
      </c>
      <c r="D13" t="s">
        <v>30</v>
      </c>
      <c r="E13" t="s">
        <v>22</v>
      </c>
      <c r="F13" s="1">
        <v>37121</v>
      </c>
      <c r="G13">
        <v>24</v>
      </c>
      <c r="H13" s="1">
        <v>24296</v>
      </c>
      <c r="I13">
        <v>59</v>
      </c>
      <c r="J13" t="s">
        <v>17</v>
      </c>
      <c r="K13">
        <v>17233</v>
      </c>
      <c r="L13">
        <v>0.89</v>
      </c>
      <c r="M13">
        <v>0.41</v>
      </c>
      <c r="N13" s="7">
        <v>0.65</v>
      </c>
      <c r="O13" s="7">
        <v>-0.48</v>
      </c>
    </row>
    <row r="14" spans="1:18" x14ac:dyDescent="0.25">
      <c r="A14">
        <v>7</v>
      </c>
      <c r="B14">
        <v>27008</v>
      </c>
      <c r="C14" t="s">
        <v>31</v>
      </c>
      <c r="D14" t="s">
        <v>32</v>
      </c>
      <c r="E14" t="s">
        <v>19</v>
      </c>
      <c r="F14" s="1">
        <v>37758</v>
      </c>
      <c r="G14">
        <v>22</v>
      </c>
      <c r="H14" s="1">
        <v>30195</v>
      </c>
      <c r="I14">
        <v>43</v>
      </c>
      <c r="J14" t="s">
        <v>17</v>
      </c>
      <c r="K14">
        <v>19987</v>
      </c>
      <c r="L14">
        <v>0.76</v>
      </c>
      <c r="M14">
        <v>0.55000000000000004</v>
      </c>
      <c r="N14" s="7">
        <v>0.65500000000000003</v>
      </c>
      <c r="O14" s="7">
        <v>-0.21</v>
      </c>
    </row>
    <row r="15" spans="1:18" x14ac:dyDescent="0.25">
      <c r="A15">
        <v>8</v>
      </c>
      <c r="B15">
        <v>27621</v>
      </c>
      <c r="C15" t="s">
        <v>33</v>
      </c>
      <c r="D15" t="s">
        <v>34</v>
      </c>
      <c r="E15" t="s">
        <v>13</v>
      </c>
      <c r="F15" s="1">
        <v>39600</v>
      </c>
      <c r="G15">
        <v>17</v>
      </c>
      <c r="H15" s="1">
        <v>29625</v>
      </c>
      <c r="I15">
        <v>44</v>
      </c>
      <c r="J15" t="s">
        <v>17</v>
      </c>
      <c r="K15">
        <v>23537</v>
      </c>
      <c r="L15">
        <v>0.87</v>
      </c>
      <c r="M15">
        <v>0.69</v>
      </c>
      <c r="N15" s="7">
        <v>0.78</v>
      </c>
      <c r="O15" s="7">
        <v>-0.18</v>
      </c>
    </row>
    <row r="16" spans="1:18" x14ac:dyDescent="0.25">
      <c r="A16">
        <v>26</v>
      </c>
      <c r="B16">
        <v>27374</v>
      </c>
      <c r="C16" t="s">
        <v>23</v>
      </c>
      <c r="D16" t="s">
        <v>32</v>
      </c>
      <c r="E16" t="s">
        <v>22</v>
      </c>
      <c r="F16" s="1">
        <v>42491</v>
      </c>
      <c r="G16">
        <v>9</v>
      </c>
      <c r="H16" s="1">
        <v>27603</v>
      </c>
      <c r="I16">
        <v>50</v>
      </c>
      <c r="J16" t="s">
        <v>17</v>
      </c>
      <c r="K16">
        <v>7935</v>
      </c>
      <c r="L16">
        <v>0.83</v>
      </c>
      <c r="M16">
        <v>0.41</v>
      </c>
      <c r="N16" s="7">
        <v>0.62</v>
      </c>
      <c r="O16" s="7">
        <v>-0.42</v>
      </c>
    </row>
    <row r="17" spans="1:15" x14ac:dyDescent="0.25">
      <c r="A17">
        <v>27</v>
      </c>
      <c r="B17">
        <v>29368</v>
      </c>
      <c r="C17" t="s">
        <v>24</v>
      </c>
      <c r="D17" t="s">
        <v>30</v>
      </c>
      <c r="E17" t="s">
        <v>19</v>
      </c>
      <c r="F17" s="1">
        <v>42515</v>
      </c>
      <c r="G17">
        <v>9</v>
      </c>
      <c r="H17" s="1">
        <v>26982</v>
      </c>
      <c r="I17">
        <v>52</v>
      </c>
      <c r="J17" t="s">
        <v>17</v>
      </c>
      <c r="K17">
        <v>20121</v>
      </c>
      <c r="L17">
        <v>0.8</v>
      </c>
      <c r="M17">
        <v>0.64</v>
      </c>
      <c r="N17" s="7">
        <v>0.72</v>
      </c>
      <c r="O17" s="7">
        <v>-0.16</v>
      </c>
    </row>
    <row r="18" spans="1:15" x14ac:dyDescent="0.25">
      <c r="A18">
        <v>28</v>
      </c>
      <c r="B18">
        <v>27092</v>
      </c>
      <c r="C18" t="s">
        <v>35</v>
      </c>
      <c r="D18" t="s">
        <v>32</v>
      </c>
      <c r="E18" t="s">
        <v>22</v>
      </c>
      <c r="F18" s="1">
        <v>42597</v>
      </c>
      <c r="G18">
        <v>9</v>
      </c>
      <c r="H18" s="1">
        <v>29688</v>
      </c>
      <c r="I18">
        <v>44</v>
      </c>
      <c r="J18" t="s">
        <v>17</v>
      </c>
      <c r="K18">
        <v>16408</v>
      </c>
      <c r="L18">
        <v>0.76</v>
      </c>
      <c r="M18">
        <v>0.91</v>
      </c>
      <c r="N18" s="7">
        <v>0.83499999999999996</v>
      </c>
      <c r="O18" s="7">
        <v>0.15</v>
      </c>
    </row>
    <row r="19" spans="1:15" x14ac:dyDescent="0.25">
      <c r="A19">
        <v>29</v>
      </c>
      <c r="B19">
        <v>26429</v>
      </c>
      <c r="C19" t="s">
        <v>36</v>
      </c>
      <c r="D19" t="s">
        <v>34</v>
      </c>
      <c r="E19" t="s">
        <v>19</v>
      </c>
      <c r="F19" s="1">
        <v>35029</v>
      </c>
      <c r="G19">
        <v>30</v>
      </c>
      <c r="H19" s="1">
        <v>30178</v>
      </c>
      <c r="I19">
        <v>43</v>
      </c>
      <c r="J19" t="s">
        <v>17</v>
      </c>
      <c r="K19">
        <v>2323</v>
      </c>
      <c r="L19">
        <v>0.83</v>
      </c>
      <c r="M19">
        <v>0.75</v>
      </c>
      <c r="N19" s="7">
        <v>0.79</v>
      </c>
      <c r="O19" s="7">
        <v>-0.08</v>
      </c>
    </row>
    <row r="20" spans="1:15" x14ac:dyDescent="0.25">
      <c r="A20">
        <v>46</v>
      </c>
      <c r="B20">
        <v>26994</v>
      </c>
      <c r="C20" t="s">
        <v>37</v>
      </c>
      <c r="D20" t="s">
        <v>32</v>
      </c>
      <c r="E20" t="s">
        <v>22</v>
      </c>
      <c r="F20" s="1">
        <v>35855</v>
      </c>
      <c r="G20">
        <v>27</v>
      </c>
      <c r="H20" s="1">
        <v>24091</v>
      </c>
      <c r="I20">
        <v>60</v>
      </c>
      <c r="J20" t="s">
        <v>17</v>
      </c>
      <c r="K20">
        <v>6553</v>
      </c>
      <c r="L20">
        <v>0.75</v>
      </c>
      <c r="M20">
        <v>0.75</v>
      </c>
      <c r="N20" s="7">
        <v>0.75</v>
      </c>
      <c r="O20" s="7">
        <v>0</v>
      </c>
    </row>
    <row r="21" spans="1:15" x14ac:dyDescent="0.25">
      <c r="A21">
        <v>47</v>
      </c>
      <c r="B21">
        <v>27007</v>
      </c>
      <c r="C21" t="s">
        <v>38</v>
      </c>
      <c r="D21" t="s">
        <v>30</v>
      </c>
      <c r="E21" t="s">
        <v>22</v>
      </c>
      <c r="F21" s="1">
        <v>36544</v>
      </c>
      <c r="G21">
        <v>25</v>
      </c>
      <c r="H21" s="1">
        <v>28423</v>
      </c>
      <c r="I21">
        <v>48</v>
      </c>
      <c r="J21" t="s">
        <v>17</v>
      </c>
      <c r="K21">
        <v>13054</v>
      </c>
      <c r="L21">
        <v>0.82</v>
      </c>
      <c r="M21">
        <v>0.48</v>
      </c>
      <c r="N21" s="7">
        <v>0.64999999999999991</v>
      </c>
      <c r="O21" s="7">
        <v>-0.34</v>
      </c>
    </row>
    <row r="22" spans="1:15" x14ac:dyDescent="0.25">
      <c r="A22">
        <v>48</v>
      </c>
      <c r="B22">
        <v>26424</v>
      </c>
      <c r="C22" t="s">
        <v>15</v>
      </c>
      <c r="D22" t="s">
        <v>32</v>
      </c>
      <c r="E22" t="s">
        <v>22</v>
      </c>
      <c r="F22" s="1">
        <v>37118</v>
      </c>
      <c r="G22">
        <v>24</v>
      </c>
      <c r="H22" s="1">
        <v>27130</v>
      </c>
      <c r="I22">
        <v>51</v>
      </c>
      <c r="J22" t="s">
        <v>17</v>
      </c>
      <c r="K22">
        <v>20909</v>
      </c>
      <c r="L22">
        <v>0.88</v>
      </c>
      <c r="M22">
        <v>0.46</v>
      </c>
      <c r="N22" s="7">
        <v>0.67</v>
      </c>
      <c r="O22" s="7">
        <v>-0.42</v>
      </c>
    </row>
    <row r="23" spans="1:15" x14ac:dyDescent="0.25">
      <c r="A23">
        <v>49</v>
      </c>
      <c r="B23">
        <v>26415</v>
      </c>
      <c r="C23" t="s">
        <v>18</v>
      </c>
      <c r="D23" t="s">
        <v>34</v>
      </c>
      <c r="E23" t="s">
        <v>19</v>
      </c>
      <c r="F23" s="1">
        <v>37460</v>
      </c>
      <c r="G23">
        <v>23</v>
      </c>
      <c r="H23" s="1">
        <v>25427</v>
      </c>
      <c r="I23">
        <v>56</v>
      </c>
      <c r="J23" t="s">
        <v>17</v>
      </c>
      <c r="K23">
        <v>23771</v>
      </c>
      <c r="L23">
        <v>0.88</v>
      </c>
      <c r="M23">
        <v>0.63</v>
      </c>
      <c r="N23" s="7">
        <v>0.755</v>
      </c>
      <c r="O23" s="7">
        <v>-0.25</v>
      </c>
    </row>
    <row r="24" spans="1:15" x14ac:dyDescent="0.25">
      <c r="A24">
        <v>54</v>
      </c>
      <c r="B24">
        <v>27143</v>
      </c>
      <c r="C24" t="s">
        <v>39</v>
      </c>
      <c r="D24" t="s">
        <v>32</v>
      </c>
      <c r="E24" t="s">
        <v>22</v>
      </c>
      <c r="F24" s="1">
        <v>41748</v>
      </c>
      <c r="G24">
        <v>11</v>
      </c>
      <c r="H24" s="1">
        <v>25434</v>
      </c>
      <c r="I24">
        <v>56</v>
      </c>
      <c r="J24" t="s">
        <v>17</v>
      </c>
      <c r="K24">
        <v>8529</v>
      </c>
      <c r="L24">
        <v>0.83</v>
      </c>
      <c r="M24">
        <v>0.77</v>
      </c>
      <c r="N24" s="7">
        <v>0.8</v>
      </c>
      <c r="O24" s="7">
        <v>-5.9999999999999901E-2</v>
      </c>
    </row>
    <row r="25" spans="1:15" x14ac:dyDescent="0.25">
      <c r="A25">
        <v>55</v>
      </c>
      <c r="B25">
        <v>27393</v>
      </c>
      <c r="C25" t="s">
        <v>40</v>
      </c>
      <c r="D25" t="s">
        <v>30</v>
      </c>
      <c r="E25" t="s">
        <v>13</v>
      </c>
      <c r="F25" s="1">
        <v>41977</v>
      </c>
      <c r="G25">
        <v>11</v>
      </c>
      <c r="H25" s="1">
        <v>29527</v>
      </c>
      <c r="I25">
        <v>45</v>
      </c>
      <c r="J25" t="s">
        <v>17</v>
      </c>
      <c r="K25">
        <v>3453</v>
      </c>
      <c r="L25">
        <v>0.87</v>
      </c>
      <c r="M25">
        <v>0.83</v>
      </c>
      <c r="N25" s="7">
        <v>0.85</v>
      </c>
      <c r="O25" s="7">
        <v>-0.04</v>
      </c>
    </row>
    <row r="26" spans="1:15" x14ac:dyDescent="0.25">
      <c r="A26">
        <v>56</v>
      </c>
      <c r="B26">
        <v>30351</v>
      </c>
      <c r="C26" t="s">
        <v>41</v>
      </c>
      <c r="D26" t="s">
        <v>32</v>
      </c>
      <c r="E26" t="s">
        <v>13</v>
      </c>
      <c r="F26" s="1">
        <v>42053</v>
      </c>
      <c r="G26">
        <v>10</v>
      </c>
      <c r="H26" s="1">
        <v>27098</v>
      </c>
      <c r="I26">
        <v>51</v>
      </c>
      <c r="J26" t="s">
        <v>17</v>
      </c>
      <c r="K26">
        <v>14170</v>
      </c>
      <c r="L26">
        <v>0.77</v>
      </c>
      <c r="M26">
        <v>0.89</v>
      </c>
      <c r="N26" s="7">
        <v>0.83000000000000007</v>
      </c>
      <c r="O26" s="7">
        <v>0.12</v>
      </c>
    </row>
    <row r="27" spans="1:15" x14ac:dyDescent="0.25">
      <c r="A27">
        <v>57</v>
      </c>
      <c r="B27">
        <v>26441</v>
      </c>
      <c r="C27" t="s">
        <v>42</v>
      </c>
      <c r="D27" t="s">
        <v>34</v>
      </c>
      <c r="E27" t="s">
        <v>19</v>
      </c>
      <c r="F27" s="1">
        <v>42597</v>
      </c>
      <c r="G27">
        <v>9</v>
      </c>
      <c r="H27" s="1">
        <v>30987</v>
      </c>
      <c r="I27">
        <v>41</v>
      </c>
      <c r="J27" t="s">
        <v>17</v>
      </c>
      <c r="K27">
        <v>3254</v>
      </c>
      <c r="L27">
        <v>0.81</v>
      </c>
      <c r="M27">
        <v>0.85</v>
      </c>
      <c r="N27" s="7">
        <v>0.83000000000000007</v>
      </c>
      <c r="O27" s="7">
        <v>3.9999999999999897E-2</v>
      </c>
    </row>
    <row r="28" spans="1:15" x14ac:dyDescent="0.25">
      <c r="A28">
        <v>67</v>
      </c>
      <c r="B28">
        <v>27009</v>
      </c>
      <c r="C28" t="s">
        <v>43</v>
      </c>
      <c r="D28" t="s">
        <v>32</v>
      </c>
      <c r="E28" t="s">
        <v>13</v>
      </c>
      <c r="F28" s="1">
        <v>38816</v>
      </c>
      <c r="G28">
        <v>19</v>
      </c>
      <c r="H28" s="1">
        <v>24781</v>
      </c>
      <c r="I28">
        <v>58</v>
      </c>
      <c r="J28" t="s">
        <v>17</v>
      </c>
      <c r="K28">
        <v>5735</v>
      </c>
      <c r="L28">
        <v>0.82</v>
      </c>
      <c r="M28">
        <v>0.69</v>
      </c>
      <c r="N28" s="7">
        <v>0.75499999999999989</v>
      </c>
      <c r="O28" s="7">
        <v>-0.13</v>
      </c>
    </row>
    <row r="29" spans="1:15" x14ac:dyDescent="0.25">
      <c r="A29">
        <v>68</v>
      </c>
      <c r="B29">
        <v>26428</v>
      </c>
      <c r="C29" t="s">
        <v>20</v>
      </c>
      <c r="D29" t="s">
        <v>30</v>
      </c>
      <c r="E29" t="s">
        <v>13</v>
      </c>
      <c r="F29" s="1">
        <v>39298</v>
      </c>
      <c r="G29">
        <v>18</v>
      </c>
      <c r="H29" s="1">
        <v>25572</v>
      </c>
      <c r="I29">
        <v>55</v>
      </c>
      <c r="J29" t="s">
        <v>17</v>
      </c>
      <c r="K29">
        <v>2725</v>
      </c>
      <c r="L29">
        <v>0.8</v>
      </c>
      <c r="M29">
        <v>0.54</v>
      </c>
      <c r="N29" s="7">
        <v>0.67</v>
      </c>
      <c r="O29" s="7">
        <v>-0.26</v>
      </c>
    </row>
    <row r="30" spans="1:15" x14ac:dyDescent="0.25">
      <c r="A30">
        <v>69</v>
      </c>
      <c r="B30">
        <v>26417</v>
      </c>
      <c r="C30" t="s">
        <v>21</v>
      </c>
      <c r="D30" t="s">
        <v>32</v>
      </c>
      <c r="E30" t="s">
        <v>22</v>
      </c>
      <c r="F30" s="1">
        <v>39725</v>
      </c>
      <c r="G30">
        <v>17</v>
      </c>
      <c r="H30" s="1">
        <v>25981</v>
      </c>
      <c r="I30">
        <v>54</v>
      </c>
      <c r="J30" t="s">
        <v>17</v>
      </c>
      <c r="K30">
        <v>5909</v>
      </c>
      <c r="L30">
        <v>0.76</v>
      </c>
      <c r="M30">
        <v>0.43</v>
      </c>
      <c r="N30" s="7">
        <v>0.59499999999999997</v>
      </c>
      <c r="O30" s="7">
        <v>-0.33</v>
      </c>
    </row>
    <row r="31" spans="1:15" x14ac:dyDescent="0.25">
      <c r="A31">
        <v>70</v>
      </c>
      <c r="B31">
        <v>27150</v>
      </c>
      <c r="C31" t="s">
        <v>44</v>
      </c>
      <c r="D31" t="s">
        <v>34</v>
      </c>
      <c r="E31" t="s">
        <v>22</v>
      </c>
      <c r="F31" s="1">
        <v>40180</v>
      </c>
      <c r="G31">
        <v>15</v>
      </c>
      <c r="H31" s="1">
        <v>23726</v>
      </c>
      <c r="I31">
        <v>61</v>
      </c>
      <c r="J31" t="s">
        <v>17</v>
      </c>
      <c r="K31">
        <v>11445</v>
      </c>
      <c r="L31">
        <v>0.8</v>
      </c>
      <c r="M31">
        <v>0.57999999999999996</v>
      </c>
      <c r="N31" s="7">
        <v>0.69</v>
      </c>
      <c r="O31" s="7">
        <v>-0.22</v>
      </c>
    </row>
    <row r="32" spans="1:15" x14ac:dyDescent="0.25">
      <c r="A32">
        <v>83</v>
      </c>
      <c r="B32">
        <v>26399</v>
      </c>
      <c r="C32" t="s">
        <v>18</v>
      </c>
      <c r="D32" t="s">
        <v>30</v>
      </c>
      <c r="E32" t="s">
        <v>22</v>
      </c>
      <c r="F32" s="1">
        <v>37282</v>
      </c>
      <c r="G32">
        <v>23</v>
      </c>
      <c r="H32" s="1">
        <v>30042</v>
      </c>
      <c r="I32">
        <v>43</v>
      </c>
      <c r="J32" t="s">
        <v>17</v>
      </c>
      <c r="K32">
        <v>6834</v>
      </c>
      <c r="L32">
        <v>0.83</v>
      </c>
      <c r="M32">
        <v>0.64</v>
      </c>
      <c r="N32" s="7">
        <v>0.73499999999999999</v>
      </c>
      <c r="O32" s="7">
        <v>-0.19</v>
      </c>
    </row>
    <row r="33" spans="1:15" x14ac:dyDescent="0.25">
      <c r="A33">
        <v>84</v>
      </c>
      <c r="B33">
        <v>26442</v>
      </c>
      <c r="C33" t="s">
        <v>45</v>
      </c>
      <c r="D33" t="s">
        <v>32</v>
      </c>
      <c r="E33" t="s">
        <v>13</v>
      </c>
      <c r="F33" s="1">
        <v>37975</v>
      </c>
      <c r="G33">
        <v>22</v>
      </c>
      <c r="H33" s="1">
        <v>24969</v>
      </c>
      <c r="I33">
        <v>57</v>
      </c>
      <c r="J33" t="s">
        <v>17</v>
      </c>
      <c r="K33">
        <v>1860</v>
      </c>
      <c r="L33">
        <v>0.89</v>
      </c>
      <c r="M33">
        <v>0.94</v>
      </c>
      <c r="N33" s="7">
        <v>0.91500000000000004</v>
      </c>
      <c r="O33" s="7">
        <v>4.9999999999999899E-2</v>
      </c>
    </row>
    <row r="34" spans="1:15" x14ac:dyDescent="0.25">
      <c r="A34">
        <v>85</v>
      </c>
      <c r="B34">
        <v>25908</v>
      </c>
      <c r="C34" t="s">
        <v>46</v>
      </c>
      <c r="D34" t="s">
        <v>34</v>
      </c>
      <c r="E34" t="s">
        <v>13</v>
      </c>
      <c r="F34" s="1">
        <v>38403</v>
      </c>
      <c r="G34">
        <v>20</v>
      </c>
      <c r="H34" s="1">
        <v>26618</v>
      </c>
      <c r="I34">
        <v>53</v>
      </c>
      <c r="J34" t="s">
        <v>17</v>
      </c>
      <c r="K34">
        <v>8730</v>
      </c>
      <c r="L34">
        <v>0.88</v>
      </c>
      <c r="M34">
        <v>0.95</v>
      </c>
      <c r="N34" s="7">
        <v>0.91500000000000004</v>
      </c>
      <c r="O34" s="7">
        <v>7.0000000000000007E-2</v>
      </c>
    </row>
    <row r="35" spans="1:15" x14ac:dyDescent="0.25">
      <c r="A35">
        <v>3</v>
      </c>
      <c r="B35">
        <v>26446</v>
      </c>
      <c r="C35" t="s">
        <v>25</v>
      </c>
      <c r="D35" t="s">
        <v>47</v>
      </c>
      <c r="E35" t="s">
        <v>19</v>
      </c>
      <c r="F35" s="1">
        <v>41498</v>
      </c>
      <c r="G35">
        <v>12</v>
      </c>
      <c r="H35" s="1">
        <v>29990</v>
      </c>
      <c r="I35">
        <v>43</v>
      </c>
      <c r="J35" t="s">
        <v>14</v>
      </c>
      <c r="K35">
        <v>25000</v>
      </c>
      <c r="L35">
        <v>0.8</v>
      </c>
      <c r="M35">
        <v>0.9</v>
      </c>
      <c r="N35" s="7">
        <v>0.85000000000000009</v>
      </c>
      <c r="O35" s="7">
        <v>0.1</v>
      </c>
    </row>
    <row r="36" spans="1:15" x14ac:dyDescent="0.25">
      <c r="A36">
        <v>9</v>
      </c>
      <c r="B36">
        <v>26412</v>
      </c>
      <c r="C36" t="s">
        <v>48</v>
      </c>
      <c r="D36" t="s">
        <v>49</v>
      </c>
      <c r="E36" t="s">
        <v>22</v>
      </c>
      <c r="F36" s="1">
        <v>39767</v>
      </c>
      <c r="G36">
        <v>17</v>
      </c>
      <c r="H36" s="1">
        <v>30733</v>
      </c>
      <c r="I36">
        <v>41</v>
      </c>
      <c r="J36" t="s">
        <v>17</v>
      </c>
      <c r="K36">
        <v>11492</v>
      </c>
      <c r="L36">
        <v>0.81</v>
      </c>
      <c r="M36">
        <v>0.77</v>
      </c>
      <c r="N36" s="7">
        <v>0.79</v>
      </c>
      <c r="O36" s="7">
        <v>-0.04</v>
      </c>
    </row>
    <row r="37" spans="1:15" x14ac:dyDescent="0.25">
      <c r="A37">
        <v>30</v>
      </c>
      <c r="B37">
        <v>25905</v>
      </c>
      <c r="C37" t="s">
        <v>50</v>
      </c>
      <c r="D37" t="s">
        <v>49</v>
      </c>
      <c r="E37" t="s">
        <v>13</v>
      </c>
      <c r="F37" s="1">
        <v>41749</v>
      </c>
      <c r="G37">
        <v>11</v>
      </c>
      <c r="H37" s="1">
        <v>23688</v>
      </c>
      <c r="I37">
        <v>61</v>
      </c>
      <c r="J37" t="s">
        <v>17</v>
      </c>
      <c r="K37">
        <v>5578</v>
      </c>
      <c r="L37">
        <v>0.76</v>
      </c>
      <c r="M37">
        <v>0.97</v>
      </c>
      <c r="N37" s="7">
        <v>0.86499999999999999</v>
      </c>
      <c r="O37" s="7">
        <v>0.21</v>
      </c>
    </row>
    <row r="38" spans="1:15" x14ac:dyDescent="0.25">
      <c r="A38">
        <v>50</v>
      </c>
      <c r="B38">
        <v>30350</v>
      </c>
      <c r="C38" t="s">
        <v>45</v>
      </c>
      <c r="D38" t="s">
        <v>49</v>
      </c>
      <c r="E38" t="s">
        <v>22</v>
      </c>
      <c r="F38" s="1">
        <v>37817</v>
      </c>
      <c r="G38">
        <v>22</v>
      </c>
      <c r="H38" s="1">
        <v>25539</v>
      </c>
      <c r="I38">
        <v>56</v>
      </c>
      <c r="J38" t="s">
        <v>17</v>
      </c>
      <c r="K38">
        <v>6348</v>
      </c>
      <c r="L38">
        <v>0.76</v>
      </c>
      <c r="M38">
        <v>0.69</v>
      </c>
      <c r="N38" s="7">
        <v>0.72499999999999998</v>
      </c>
      <c r="O38" s="7">
        <v>-7.0000000000000104E-2</v>
      </c>
    </row>
    <row r="39" spans="1:15" x14ac:dyDescent="0.25">
      <c r="A39">
        <v>58</v>
      </c>
      <c r="B39">
        <v>30349</v>
      </c>
      <c r="C39" t="s">
        <v>51</v>
      </c>
      <c r="D39" t="s">
        <v>49</v>
      </c>
      <c r="E39" t="s">
        <v>19</v>
      </c>
      <c r="F39" s="1">
        <v>42598</v>
      </c>
      <c r="G39">
        <v>9</v>
      </c>
      <c r="H39" s="1">
        <v>25876</v>
      </c>
      <c r="I39">
        <v>55</v>
      </c>
      <c r="J39" t="s">
        <v>17</v>
      </c>
      <c r="K39">
        <v>1952</v>
      </c>
      <c r="L39">
        <v>0.83</v>
      </c>
      <c r="M39">
        <v>0.76</v>
      </c>
      <c r="N39" s="7">
        <v>0.79499999999999993</v>
      </c>
      <c r="O39" s="7">
        <v>-7.0000000000000007E-2</v>
      </c>
    </row>
    <row r="40" spans="1:15" x14ac:dyDescent="0.25">
      <c r="A40">
        <v>71</v>
      </c>
      <c r="B40">
        <v>30460</v>
      </c>
      <c r="C40" t="s">
        <v>52</v>
      </c>
      <c r="D40" t="s">
        <v>49</v>
      </c>
      <c r="E40" t="s">
        <v>22</v>
      </c>
      <c r="F40" s="1">
        <v>40680</v>
      </c>
      <c r="G40">
        <v>14</v>
      </c>
      <c r="H40" s="1">
        <v>28100</v>
      </c>
      <c r="I40">
        <v>49</v>
      </c>
      <c r="J40" t="s">
        <v>17</v>
      </c>
      <c r="K40">
        <v>18214</v>
      </c>
      <c r="L40">
        <v>0.78</v>
      </c>
      <c r="M40">
        <v>0.64</v>
      </c>
      <c r="N40" s="7">
        <v>0.71</v>
      </c>
      <c r="O40" s="7">
        <v>-0.14000000000000001</v>
      </c>
    </row>
    <row r="41" spans="1:15" x14ac:dyDescent="0.25">
      <c r="A41">
        <v>3</v>
      </c>
      <c r="B41">
        <v>26446</v>
      </c>
      <c r="C41" t="s">
        <v>25</v>
      </c>
      <c r="D41" t="s">
        <v>47</v>
      </c>
      <c r="E41" t="s">
        <v>19</v>
      </c>
      <c r="F41" s="1">
        <v>41498</v>
      </c>
      <c r="G41">
        <v>12</v>
      </c>
      <c r="H41" s="1">
        <v>29990</v>
      </c>
      <c r="I41">
        <v>43</v>
      </c>
      <c r="J41" t="s">
        <v>14</v>
      </c>
      <c r="K41">
        <v>25000</v>
      </c>
      <c r="L41">
        <v>0.8</v>
      </c>
      <c r="M41">
        <v>0.9</v>
      </c>
      <c r="N41" s="7">
        <v>0.85000000000000009</v>
      </c>
      <c r="O41" s="7">
        <v>0.1</v>
      </c>
    </row>
    <row r="42" spans="1:15" x14ac:dyDescent="0.25">
      <c r="A42">
        <v>9</v>
      </c>
      <c r="B42">
        <v>26412</v>
      </c>
      <c r="C42" t="s">
        <v>48</v>
      </c>
      <c r="D42" t="s">
        <v>49</v>
      </c>
      <c r="E42" t="s">
        <v>22</v>
      </c>
      <c r="F42" s="1">
        <v>39767</v>
      </c>
      <c r="G42">
        <v>17</v>
      </c>
      <c r="H42" s="1">
        <v>30733</v>
      </c>
      <c r="I42">
        <v>41</v>
      </c>
      <c r="J42" t="s">
        <v>17</v>
      </c>
      <c r="K42">
        <v>11492</v>
      </c>
      <c r="L42">
        <v>0.81</v>
      </c>
      <c r="M42">
        <v>0.77</v>
      </c>
      <c r="N42" s="7">
        <v>0.79</v>
      </c>
      <c r="O42" s="7">
        <v>-0.04</v>
      </c>
    </row>
    <row r="43" spans="1:15" x14ac:dyDescent="0.25">
      <c r="A43">
        <v>30</v>
      </c>
      <c r="B43">
        <v>25905</v>
      </c>
      <c r="C43" t="s">
        <v>50</v>
      </c>
      <c r="D43" t="s">
        <v>49</v>
      </c>
      <c r="E43" t="s">
        <v>13</v>
      </c>
      <c r="F43" s="1">
        <v>41749</v>
      </c>
      <c r="G43">
        <v>11</v>
      </c>
      <c r="H43" s="1">
        <v>23688</v>
      </c>
      <c r="I43">
        <v>61</v>
      </c>
      <c r="J43" t="s">
        <v>17</v>
      </c>
      <c r="K43">
        <v>5578</v>
      </c>
      <c r="L43">
        <v>0.76</v>
      </c>
      <c r="M43">
        <v>0.97</v>
      </c>
      <c r="N43" s="7">
        <v>0.86499999999999999</v>
      </c>
      <c r="O43" s="7">
        <v>0.21</v>
      </c>
    </row>
    <row r="44" spans="1:15" x14ac:dyDescent="0.25">
      <c r="A44">
        <v>50</v>
      </c>
      <c r="B44">
        <v>30350</v>
      </c>
      <c r="C44" t="s">
        <v>45</v>
      </c>
      <c r="D44" t="s">
        <v>49</v>
      </c>
      <c r="E44" t="s">
        <v>22</v>
      </c>
      <c r="F44" s="1">
        <v>37817</v>
      </c>
      <c r="G44">
        <v>22</v>
      </c>
      <c r="H44" s="1">
        <v>25539</v>
      </c>
      <c r="I44">
        <v>56</v>
      </c>
      <c r="J44" t="s">
        <v>17</v>
      </c>
      <c r="K44">
        <v>6348</v>
      </c>
      <c r="L44">
        <v>0.76</v>
      </c>
      <c r="M44">
        <v>0.69</v>
      </c>
      <c r="N44" s="7">
        <v>0.72499999999999998</v>
      </c>
      <c r="O44" s="7">
        <v>-7.0000000000000104E-2</v>
      </c>
    </row>
    <row r="45" spans="1:15" x14ac:dyDescent="0.25">
      <c r="A45">
        <v>58</v>
      </c>
      <c r="B45">
        <v>30349</v>
      </c>
      <c r="C45" t="s">
        <v>51</v>
      </c>
      <c r="D45" t="s">
        <v>49</v>
      </c>
      <c r="E45" t="s">
        <v>19</v>
      </c>
      <c r="F45" s="1">
        <v>42598</v>
      </c>
      <c r="G45">
        <v>9</v>
      </c>
      <c r="H45" s="1">
        <v>25876</v>
      </c>
      <c r="I45">
        <v>55</v>
      </c>
      <c r="J45" t="s">
        <v>17</v>
      </c>
      <c r="K45">
        <v>1952</v>
      </c>
      <c r="L45">
        <v>0.83</v>
      </c>
      <c r="M45">
        <v>0.76</v>
      </c>
      <c r="N45" s="7">
        <v>0.79499999999999993</v>
      </c>
      <c r="O45" s="7">
        <v>-7.0000000000000007E-2</v>
      </c>
    </row>
    <row r="46" spans="1:15" x14ac:dyDescent="0.25">
      <c r="A46">
        <v>71</v>
      </c>
      <c r="B46">
        <v>30460</v>
      </c>
      <c r="C46" t="s">
        <v>52</v>
      </c>
      <c r="D46" t="s">
        <v>49</v>
      </c>
      <c r="E46" t="s">
        <v>22</v>
      </c>
      <c r="F46" s="1">
        <v>40680</v>
      </c>
      <c r="G46">
        <v>14</v>
      </c>
      <c r="H46" s="1">
        <v>28100</v>
      </c>
      <c r="I46">
        <v>49</v>
      </c>
      <c r="J46" t="s">
        <v>17</v>
      </c>
      <c r="K46">
        <v>18214</v>
      </c>
      <c r="L46">
        <v>0.78</v>
      </c>
      <c r="M46">
        <v>0.64</v>
      </c>
      <c r="N46" s="7">
        <v>0.71</v>
      </c>
      <c r="O46" s="7">
        <v>-0.14000000000000001</v>
      </c>
    </row>
    <row r="47" spans="1:15" x14ac:dyDescent="0.25">
      <c r="A47">
        <v>2</v>
      </c>
      <c r="B47">
        <v>28127</v>
      </c>
      <c r="C47" t="s">
        <v>53</v>
      </c>
      <c r="D47" t="s">
        <v>54</v>
      </c>
      <c r="E47" t="s">
        <v>22</v>
      </c>
      <c r="F47" s="1">
        <v>40919</v>
      </c>
      <c r="G47">
        <v>13</v>
      </c>
      <c r="H47" s="1">
        <v>23989</v>
      </c>
      <c r="I47">
        <v>60</v>
      </c>
      <c r="J47" t="s">
        <v>14</v>
      </c>
      <c r="K47">
        <v>21575</v>
      </c>
      <c r="L47">
        <v>0.86</v>
      </c>
      <c r="M47">
        <v>0.87</v>
      </c>
      <c r="N47" s="7">
        <v>0.86499999999999999</v>
      </c>
      <c r="O47" s="7">
        <v>0.01</v>
      </c>
    </row>
    <row r="48" spans="1:15" x14ac:dyDescent="0.25">
      <c r="A48">
        <v>14</v>
      </c>
      <c r="B48">
        <v>26422</v>
      </c>
      <c r="C48" t="s">
        <v>45</v>
      </c>
      <c r="D48" t="s">
        <v>55</v>
      </c>
      <c r="E48" t="s">
        <v>13</v>
      </c>
      <c r="F48" s="1">
        <v>38398</v>
      </c>
      <c r="G48">
        <v>20</v>
      </c>
      <c r="H48" s="1">
        <v>23333</v>
      </c>
      <c r="I48">
        <v>62</v>
      </c>
      <c r="J48" t="s">
        <v>17</v>
      </c>
      <c r="K48">
        <v>19023</v>
      </c>
      <c r="L48">
        <v>0.78</v>
      </c>
      <c r="M48">
        <v>0.89</v>
      </c>
      <c r="N48" s="7">
        <v>0.83499999999999996</v>
      </c>
      <c r="O48" s="7">
        <v>0.11</v>
      </c>
    </row>
    <row r="49" spans="1:15" x14ac:dyDescent="0.25">
      <c r="A49">
        <v>15</v>
      </c>
      <c r="B49">
        <v>26414</v>
      </c>
      <c r="C49" t="s">
        <v>46</v>
      </c>
      <c r="D49" t="s">
        <v>56</v>
      </c>
      <c r="E49" t="s">
        <v>22</v>
      </c>
      <c r="F49" s="1">
        <v>40292</v>
      </c>
      <c r="G49">
        <v>15</v>
      </c>
      <c r="H49" s="1">
        <v>26435</v>
      </c>
      <c r="I49">
        <v>53</v>
      </c>
      <c r="J49" t="s">
        <v>17</v>
      </c>
      <c r="K49">
        <v>12801</v>
      </c>
      <c r="L49">
        <v>0.75</v>
      </c>
      <c r="M49">
        <v>0.76</v>
      </c>
      <c r="N49" s="7">
        <v>0.755</v>
      </c>
      <c r="O49" s="7">
        <v>0.01</v>
      </c>
    </row>
    <row r="50" spans="1:15" x14ac:dyDescent="0.25">
      <c r="A50">
        <v>24</v>
      </c>
      <c r="B50">
        <v>30352</v>
      </c>
      <c r="C50" t="s">
        <v>57</v>
      </c>
      <c r="D50" t="s">
        <v>56</v>
      </c>
      <c r="E50" t="s">
        <v>13</v>
      </c>
      <c r="F50" s="1">
        <v>42483</v>
      </c>
      <c r="G50">
        <v>9</v>
      </c>
      <c r="H50" s="1">
        <v>25924</v>
      </c>
      <c r="I50">
        <v>55</v>
      </c>
      <c r="J50" t="s">
        <v>17</v>
      </c>
      <c r="K50">
        <v>16742</v>
      </c>
      <c r="L50">
        <v>0.87</v>
      </c>
      <c r="M50">
        <v>0.87</v>
      </c>
      <c r="N50" s="7">
        <v>0.87</v>
      </c>
      <c r="O50" s="7">
        <v>0</v>
      </c>
    </row>
    <row r="51" spans="1:15" x14ac:dyDescent="0.25">
      <c r="A51">
        <v>25</v>
      </c>
      <c r="B51">
        <v>26726</v>
      </c>
      <c r="C51" t="s">
        <v>58</v>
      </c>
      <c r="D51" t="s">
        <v>56</v>
      </c>
      <c r="E51" t="s">
        <v>13</v>
      </c>
      <c r="F51" s="1">
        <v>42490</v>
      </c>
      <c r="G51">
        <v>9</v>
      </c>
      <c r="H51" s="1">
        <v>30587</v>
      </c>
      <c r="I51">
        <v>42</v>
      </c>
      <c r="J51" t="s">
        <v>17</v>
      </c>
      <c r="K51">
        <v>15635</v>
      </c>
      <c r="L51">
        <v>0.84</v>
      </c>
      <c r="M51">
        <v>0.84</v>
      </c>
      <c r="N51" s="7">
        <v>0.84</v>
      </c>
      <c r="O51" s="7">
        <v>0</v>
      </c>
    </row>
    <row r="52" spans="1:15" x14ac:dyDescent="0.25">
      <c r="A52">
        <v>35</v>
      </c>
      <c r="B52">
        <v>26431</v>
      </c>
      <c r="C52" t="s">
        <v>59</v>
      </c>
      <c r="D52" t="s">
        <v>55</v>
      </c>
      <c r="E52" t="s">
        <v>22</v>
      </c>
      <c r="F52" s="1">
        <v>42833</v>
      </c>
      <c r="G52">
        <v>8</v>
      </c>
      <c r="H52" s="1">
        <v>30733</v>
      </c>
      <c r="I52">
        <v>41</v>
      </c>
      <c r="J52" t="s">
        <v>17</v>
      </c>
      <c r="K52">
        <v>20897</v>
      </c>
      <c r="L52">
        <v>0.83</v>
      </c>
      <c r="M52">
        <v>0.67</v>
      </c>
      <c r="N52" s="7">
        <v>0.75</v>
      </c>
      <c r="O52" s="7">
        <v>-0.16</v>
      </c>
    </row>
    <row r="53" spans="1:15" x14ac:dyDescent="0.25">
      <c r="A53">
        <v>36</v>
      </c>
      <c r="B53">
        <v>26396</v>
      </c>
      <c r="C53" t="s">
        <v>44</v>
      </c>
      <c r="D53" t="s">
        <v>56</v>
      </c>
      <c r="E53" t="s">
        <v>19</v>
      </c>
      <c r="F53" s="1">
        <v>41527</v>
      </c>
      <c r="G53">
        <v>12</v>
      </c>
      <c r="H53" s="1">
        <v>27607</v>
      </c>
      <c r="I53">
        <v>50</v>
      </c>
      <c r="J53" t="s">
        <v>17</v>
      </c>
      <c r="K53">
        <v>15730</v>
      </c>
      <c r="L53">
        <v>0.86</v>
      </c>
      <c r="M53">
        <v>0.53</v>
      </c>
      <c r="N53" s="7">
        <v>0.69500000000000006</v>
      </c>
      <c r="O53" s="7">
        <v>-0.33</v>
      </c>
    </row>
    <row r="54" spans="1:15" x14ac:dyDescent="0.25">
      <c r="A54">
        <v>44</v>
      </c>
      <c r="B54">
        <v>26445</v>
      </c>
      <c r="C54" t="s">
        <v>33</v>
      </c>
      <c r="D54" t="s">
        <v>56</v>
      </c>
      <c r="E54" t="s">
        <v>22</v>
      </c>
      <c r="F54" s="1">
        <v>39671</v>
      </c>
      <c r="G54">
        <v>17</v>
      </c>
      <c r="H54" s="1">
        <v>25496</v>
      </c>
      <c r="I54">
        <v>56</v>
      </c>
      <c r="J54" t="s">
        <v>17</v>
      </c>
      <c r="K54">
        <v>16861</v>
      </c>
      <c r="L54">
        <v>0.87</v>
      </c>
      <c r="M54">
        <v>0.52</v>
      </c>
      <c r="N54" s="7">
        <v>0.69500000000000006</v>
      </c>
      <c r="O54" s="7">
        <v>-0.35</v>
      </c>
    </row>
    <row r="55" spans="1:15" x14ac:dyDescent="0.25">
      <c r="A55">
        <v>45</v>
      </c>
      <c r="B55">
        <v>26400</v>
      </c>
      <c r="C55" t="s">
        <v>48</v>
      </c>
      <c r="D55" t="s">
        <v>56</v>
      </c>
      <c r="E55" t="s">
        <v>13</v>
      </c>
      <c r="F55" s="1">
        <v>42084</v>
      </c>
      <c r="G55">
        <v>10</v>
      </c>
      <c r="H55" s="1">
        <v>25856</v>
      </c>
      <c r="I55">
        <v>55</v>
      </c>
      <c r="J55" t="s">
        <v>17</v>
      </c>
      <c r="K55">
        <v>5067</v>
      </c>
      <c r="L55">
        <v>0.86</v>
      </c>
      <c r="M55">
        <v>0.94</v>
      </c>
      <c r="N55" s="7">
        <v>0.89999999999999991</v>
      </c>
      <c r="O55" s="7">
        <v>0.08</v>
      </c>
    </row>
    <row r="56" spans="1:15" x14ac:dyDescent="0.25">
      <c r="A56">
        <v>53</v>
      </c>
      <c r="B56">
        <v>26443</v>
      </c>
      <c r="C56" t="s">
        <v>60</v>
      </c>
      <c r="D56" t="s">
        <v>56</v>
      </c>
      <c r="E56" t="s">
        <v>22</v>
      </c>
      <c r="F56" s="1">
        <v>39641</v>
      </c>
      <c r="G56">
        <v>17</v>
      </c>
      <c r="H56" s="1">
        <v>25608</v>
      </c>
      <c r="I56">
        <v>55</v>
      </c>
      <c r="J56" t="s">
        <v>17</v>
      </c>
      <c r="K56">
        <v>12903</v>
      </c>
      <c r="L56">
        <v>0.77</v>
      </c>
      <c r="M56">
        <v>0.75</v>
      </c>
      <c r="N56" s="7">
        <v>0.76</v>
      </c>
      <c r="O56" s="7">
        <v>-0.02</v>
      </c>
    </row>
    <row r="57" spans="1:15" x14ac:dyDescent="0.25">
      <c r="A57">
        <v>63</v>
      </c>
      <c r="B57">
        <v>26610</v>
      </c>
      <c r="C57" t="s">
        <v>35</v>
      </c>
      <c r="D57" t="s">
        <v>55</v>
      </c>
      <c r="E57" t="s">
        <v>13</v>
      </c>
      <c r="F57" s="1">
        <v>43121</v>
      </c>
      <c r="G57">
        <v>7</v>
      </c>
      <c r="H57" s="1">
        <v>27200</v>
      </c>
      <c r="I57">
        <v>51</v>
      </c>
      <c r="J57" t="s">
        <v>17</v>
      </c>
      <c r="K57">
        <v>4388</v>
      </c>
      <c r="L57">
        <v>0.86</v>
      </c>
      <c r="M57">
        <v>0.47</v>
      </c>
      <c r="N57" s="7">
        <v>0.66500000000000004</v>
      </c>
      <c r="O57" s="7">
        <v>-0.39</v>
      </c>
    </row>
    <row r="58" spans="1:15" x14ac:dyDescent="0.25">
      <c r="A58">
        <v>64</v>
      </c>
      <c r="B58">
        <v>26404</v>
      </c>
      <c r="C58" t="s">
        <v>36</v>
      </c>
      <c r="D58" t="s">
        <v>56</v>
      </c>
      <c r="E58" t="s">
        <v>13</v>
      </c>
      <c r="F58" s="1">
        <v>43463</v>
      </c>
      <c r="G58">
        <v>7</v>
      </c>
      <c r="H58" s="1">
        <v>27167</v>
      </c>
      <c r="I58">
        <v>51</v>
      </c>
      <c r="J58" t="s">
        <v>17</v>
      </c>
      <c r="K58">
        <v>15454</v>
      </c>
      <c r="L58">
        <v>0.87</v>
      </c>
      <c r="M58">
        <v>0.94</v>
      </c>
      <c r="N58" s="7">
        <v>0.90500000000000003</v>
      </c>
      <c r="O58" s="7">
        <v>7.0000000000000007E-2</v>
      </c>
    </row>
    <row r="59" spans="1:15" x14ac:dyDescent="0.25">
      <c r="A59">
        <v>65</v>
      </c>
      <c r="B59">
        <v>26402</v>
      </c>
      <c r="C59" t="s">
        <v>50</v>
      </c>
      <c r="D59" t="s">
        <v>56</v>
      </c>
      <c r="E59" t="s">
        <v>22</v>
      </c>
      <c r="F59" s="1">
        <v>37676</v>
      </c>
      <c r="G59">
        <v>22</v>
      </c>
      <c r="H59" s="1">
        <v>25124</v>
      </c>
      <c r="I59">
        <v>57</v>
      </c>
      <c r="J59" t="s">
        <v>17</v>
      </c>
      <c r="K59">
        <v>24472</v>
      </c>
      <c r="L59">
        <v>0.84</v>
      </c>
      <c r="M59">
        <v>0.52</v>
      </c>
      <c r="N59" s="7">
        <v>0.67999999999999994</v>
      </c>
      <c r="O59" s="7">
        <v>-0.32</v>
      </c>
    </row>
    <row r="60" spans="1:15" x14ac:dyDescent="0.25">
      <c r="A60">
        <v>66</v>
      </c>
      <c r="B60">
        <v>26427</v>
      </c>
      <c r="C60" t="s">
        <v>61</v>
      </c>
      <c r="D60" t="s">
        <v>56</v>
      </c>
      <c r="E60" t="s">
        <v>22</v>
      </c>
      <c r="F60" s="1">
        <v>37817</v>
      </c>
      <c r="G60">
        <v>22</v>
      </c>
      <c r="H60" s="1">
        <v>23708</v>
      </c>
      <c r="I60">
        <v>61</v>
      </c>
      <c r="J60" t="s">
        <v>17</v>
      </c>
      <c r="K60">
        <v>15992</v>
      </c>
      <c r="L60">
        <v>0.82</v>
      </c>
      <c r="M60">
        <v>0.91</v>
      </c>
      <c r="N60" s="7">
        <v>0.86499999999999999</v>
      </c>
      <c r="O60" s="7">
        <v>9.0000000000000094E-2</v>
      </c>
    </row>
    <row r="61" spans="1:15" x14ac:dyDescent="0.25">
      <c r="A61">
        <v>76</v>
      </c>
      <c r="B61">
        <v>26999</v>
      </c>
      <c r="C61" t="s">
        <v>62</v>
      </c>
      <c r="D61" t="s">
        <v>55</v>
      </c>
      <c r="E61" t="s">
        <v>22</v>
      </c>
      <c r="F61" s="1">
        <v>42515</v>
      </c>
      <c r="G61">
        <v>9</v>
      </c>
      <c r="H61" s="1">
        <v>24332</v>
      </c>
      <c r="I61">
        <v>59</v>
      </c>
      <c r="J61" t="s">
        <v>17</v>
      </c>
      <c r="K61">
        <v>21183</v>
      </c>
      <c r="L61">
        <v>0.85</v>
      </c>
      <c r="M61">
        <v>0.66</v>
      </c>
      <c r="N61" s="7">
        <v>0.755</v>
      </c>
      <c r="O61" s="7">
        <v>-0.19</v>
      </c>
    </row>
    <row r="62" spans="1:15" x14ac:dyDescent="0.25">
      <c r="A62">
        <v>77</v>
      </c>
      <c r="B62">
        <v>28929</v>
      </c>
      <c r="C62" t="s">
        <v>29</v>
      </c>
      <c r="D62" t="s">
        <v>56</v>
      </c>
      <c r="E62" t="s">
        <v>22</v>
      </c>
      <c r="F62" s="1">
        <v>41783</v>
      </c>
      <c r="G62">
        <v>11</v>
      </c>
      <c r="H62" s="1">
        <v>25532</v>
      </c>
      <c r="I62">
        <v>56</v>
      </c>
      <c r="J62" t="s">
        <v>17</v>
      </c>
      <c r="K62">
        <v>22459</v>
      </c>
      <c r="L62">
        <v>0.86</v>
      </c>
      <c r="M62">
        <v>0.43</v>
      </c>
      <c r="N62" s="7">
        <v>0.64500000000000002</v>
      </c>
      <c r="O62" s="7">
        <v>-0.43</v>
      </c>
    </row>
    <row r="63" spans="1:15" x14ac:dyDescent="0.25">
      <c r="A63">
        <v>87</v>
      </c>
      <c r="B63">
        <v>26447</v>
      </c>
      <c r="C63" t="s">
        <v>60</v>
      </c>
      <c r="D63" t="s">
        <v>55</v>
      </c>
      <c r="E63" t="s">
        <v>13</v>
      </c>
      <c r="F63" s="1">
        <v>39669</v>
      </c>
      <c r="G63">
        <v>17</v>
      </c>
      <c r="H63" s="1">
        <v>29342</v>
      </c>
      <c r="I63">
        <v>45</v>
      </c>
      <c r="J63" t="s">
        <v>17</v>
      </c>
      <c r="K63">
        <v>2227</v>
      </c>
      <c r="L63">
        <v>0.8</v>
      </c>
      <c r="M63">
        <v>0.59</v>
      </c>
      <c r="N63" s="7">
        <v>0.69500000000000006</v>
      </c>
      <c r="O63" s="7">
        <v>-0.21</v>
      </c>
    </row>
    <row r="64" spans="1:15" x14ac:dyDescent="0.25">
      <c r="A64">
        <v>88</v>
      </c>
      <c r="B64">
        <v>28227</v>
      </c>
      <c r="C64" t="s">
        <v>39</v>
      </c>
      <c r="D64" t="s">
        <v>56</v>
      </c>
      <c r="E64" t="s">
        <v>13</v>
      </c>
      <c r="F64" s="1">
        <v>39767</v>
      </c>
      <c r="G64">
        <v>17</v>
      </c>
      <c r="H64" s="1">
        <v>26395</v>
      </c>
      <c r="I64">
        <v>53</v>
      </c>
      <c r="J64" t="s">
        <v>17</v>
      </c>
      <c r="K64">
        <v>1673</v>
      </c>
      <c r="L64">
        <v>0.78</v>
      </c>
      <c r="M64">
        <v>0.78</v>
      </c>
      <c r="N64" s="7">
        <v>0.78</v>
      </c>
      <c r="O64" s="7">
        <v>0</v>
      </c>
    </row>
    <row r="65" spans="1:15" x14ac:dyDescent="0.25">
      <c r="A65">
        <v>5</v>
      </c>
      <c r="B65">
        <v>27375</v>
      </c>
      <c r="C65" t="s">
        <v>62</v>
      </c>
      <c r="D65" t="s">
        <v>63</v>
      </c>
      <c r="E65" t="s">
        <v>13</v>
      </c>
      <c r="F65" s="1">
        <v>36741</v>
      </c>
      <c r="G65">
        <v>25</v>
      </c>
      <c r="H65" s="1">
        <v>29281</v>
      </c>
      <c r="I65">
        <v>45</v>
      </c>
      <c r="J65" t="s">
        <v>17</v>
      </c>
      <c r="K65">
        <v>35000</v>
      </c>
      <c r="L65">
        <v>0.89</v>
      </c>
      <c r="M65">
        <v>0.52</v>
      </c>
      <c r="N65" s="7">
        <v>0.70500000000000007</v>
      </c>
      <c r="O65" s="7">
        <v>-0.37</v>
      </c>
    </row>
    <row r="66" spans="1:15" x14ac:dyDescent="0.25">
      <c r="A66">
        <v>10</v>
      </c>
      <c r="B66">
        <v>30377</v>
      </c>
      <c r="C66" t="s">
        <v>37</v>
      </c>
      <c r="D66" t="s">
        <v>64</v>
      </c>
      <c r="E66" t="s">
        <v>22</v>
      </c>
      <c r="F66" s="1">
        <v>40362</v>
      </c>
      <c r="G66">
        <v>15</v>
      </c>
      <c r="H66" s="1">
        <v>25550</v>
      </c>
      <c r="I66">
        <v>56</v>
      </c>
      <c r="J66" t="s">
        <v>65</v>
      </c>
      <c r="K66">
        <v>17456</v>
      </c>
      <c r="L66">
        <v>0.87</v>
      </c>
      <c r="M66">
        <v>0.97</v>
      </c>
      <c r="N66" s="7">
        <v>0.91999999999999993</v>
      </c>
      <c r="O66" s="7">
        <v>0.1</v>
      </c>
    </row>
    <row r="67" spans="1:15" x14ac:dyDescent="0.25">
      <c r="A67">
        <v>11</v>
      </c>
      <c r="B67">
        <v>29369</v>
      </c>
      <c r="C67" t="s">
        <v>38</v>
      </c>
      <c r="D67" t="s">
        <v>64</v>
      </c>
      <c r="E67" t="s">
        <v>22</v>
      </c>
      <c r="F67" s="1">
        <v>42326</v>
      </c>
      <c r="G67">
        <v>10</v>
      </c>
      <c r="H67" s="1">
        <v>28807</v>
      </c>
      <c r="I67">
        <v>47</v>
      </c>
      <c r="J67" t="s">
        <v>65</v>
      </c>
      <c r="K67">
        <v>7943</v>
      </c>
      <c r="L67">
        <v>0.75</v>
      </c>
      <c r="M67">
        <v>0.7</v>
      </c>
      <c r="N67" s="7">
        <v>0.72499999999999998</v>
      </c>
      <c r="O67" s="7">
        <v>-0.05</v>
      </c>
    </row>
    <row r="68" spans="1:15" x14ac:dyDescent="0.25">
      <c r="A68">
        <v>16</v>
      </c>
      <c r="B68">
        <v>27142</v>
      </c>
      <c r="C68" t="s">
        <v>26</v>
      </c>
      <c r="D68" t="s">
        <v>64</v>
      </c>
      <c r="E68" t="s">
        <v>22</v>
      </c>
      <c r="F68" s="1">
        <v>40688</v>
      </c>
      <c r="G68">
        <v>14</v>
      </c>
      <c r="H68" s="1">
        <v>26102</v>
      </c>
      <c r="I68">
        <v>54</v>
      </c>
      <c r="J68" t="s">
        <v>65</v>
      </c>
      <c r="K68">
        <v>16613</v>
      </c>
      <c r="L68">
        <v>0.84</v>
      </c>
      <c r="M68">
        <v>0.42</v>
      </c>
      <c r="N68" s="7">
        <v>0.63</v>
      </c>
      <c r="O68" s="7">
        <v>-0.42</v>
      </c>
    </row>
    <row r="69" spans="1:15" x14ac:dyDescent="0.25">
      <c r="A69">
        <v>17</v>
      </c>
      <c r="B69">
        <v>27650</v>
      </c>
      <c r="C69" t="s">
        <v>60</v>
      </c>
      <c r="D69" t="s">
        <v>64</v>
      </c>
      <c r="E69" t="s">
        <v>22</v>
      </c>
      <c r="F69" s="1">
        <v>40726</v>
      </c>
      <c r="G69">
        <v>14</v>
      </c>
      <c r="H69" s="1">
        <v>29194</v>
      </c>
      <c r="I69">
        <v>46</v>
      </c>
      <c r="J69" t="s">
        <v>65</v>
      </c>
      <c r="K69">
        <v>6329</v>
      </c>
      <c r="L69">
        <v>0.81</v>
      </c>
      <c r="M69">
        <v>0.71</v>
      </c>
      <c r="N69" s="7">
        <v>0.76</v>
      </c>
      <c r="O69" s="7">
        <v>-0.1</v>
      </c>
    </row>
    <row r="70" spans="1:15" x14ac:dyDescent="0.25">
      <c r="A70">
        <v>18</v>
      </c>
      <c r="B70">
        <v>25906</v>
      </c>
      <c r="C70" t="s">
        <v>39</v>
      </c>
      <c r="D70" t="s">
        <v>64</v>
      </c>
      <c r="E70" t="s">
        <v>13</v>
      </c>
      <c r="F70" s="1">
        <v>41498</v>
      </c>
      <c r="G70">
        <v>12</v>
      </c>
      <c r="H70" s="1">
        <v>29664</v>
      </c>
      <c r="I70">
        <v>44</v>
      </c>
      <c r="J70" t="s">
        <v>65</v>
      </c>
      <c r="K70">
        <v>17215</v>
      </c>
      <c r="L70">
        <v>0.8</v>
      </c>
      <c r="M70">
        <v>0.87</v>
      </c>
      <c r="N70" s="7">
        <v>0.83499999999999996</v>
      </c>
      <c r="O70" s="7">
        <v>7.0000000000000007E-2</v>
      </c>
    </row>
    <row r="71" spans="1:15" x14ac:dyDescent="0.25">
      <c r="A71">
        <v>19</v>
      </c>
      <c r="B71">
        <v>26439</v>
      </c>
      <c r="C71" t="s">
        <v>40</v>
      </c>
      <c r="D71" t="s">
        <v>64</v>
      </c>
      <c r="E71" t="s">
        <v>19</v>
      </c>
      <c r="F71" s="1">
        <v>41905</v>
      </c>
      <c r="G71">
        <v>11</v>
      </c>
      <c r="H71" s="1">
        <v>25213</v>
      </c>
      <c r="I71">
        <v>56</v>
      </c>
      <c r="J71" t="s">
        <v>65</v>
      </c>
      <c r="K71">
        <v>4799</v>
      </c>
      <c r="L71">
        <v>0.86</v>
      </c>
      <c r="M71">
        <v>0.64</v>
      </c>
      <c r="N71" s="7">
        <v>0.75</v>
      </c>
      <c r="O71" s="7">
        <v>-0.22</v>
      </c>
    </row>
    <row r="72" spans="1:15" x14ac:dyDescent="0.25">
      <c r="A72">
        <v>20</v>
      </c>
      <c r="B72">
        <v>26438</v>
      </c>
      <c r="C72" t="s">
        <v>41</v>
      </c>
      <c r="D72" t="s">
        <v>64</v>
      </c>
      <c r="E72" t="s">
        <v>19</v>
      </c>
      <c r="F72" s="1">
        <v>41923</v>
      </c>
      <c r="G72">
        <v>11</v>
      </c>
      <c r="H72" s="1">
        <v>25210</v>
      </c>
      <c r="I72">
        <v>56</v>
      </c>
      <c r="J72" t="s">
        <v>65</v>
      </c>
      <c r="K72">
        <v>18547</v>
      </c>
      <c r="L72">
        <v>0.82</v>
      </c>
      <c r="M72">
        <v>0.65</v>
      </c>
      <c r="N72" s="7">
        <v>0.73499999999999999</v>
      </c>
      <c r="O72" s="7">
        <v>-0.17</v>
      </c>
    </row>
    <row r="73" spans="1:15" x14ac:dyDescent="0.25">
      <c r="A73">
        <v>21</v>
      </c>
      <c r="B73">
        <v>31456</v>
      </c>
      <c r="C73" t="s">
        <v>42</v>
      </c>
      <c r="D73" t="s">
        <v>64</v>
      </c>
      <c r="E73" t="s">
        <v>22</v>
      </c>
      <c r="F73" s="1">
        <v>42105</v>
      </c>
      <c r="G73">
        <v>10</v>
      </c>
      <c r="H73" s="1">
        <v>23312</v>
      </c>
      <c r="I73">
        <v>62</v>
      </c>
      <c r="J73" t="s">
        <v>65</v>
      </c>
      <c r="K73">
        <v>4649</v>
      </c>
      <c r="L73">
        <v>0.75</v>
      </c>
      <c r="M73">
        <v>0.78</v>
      </c>
      <c r="N73" s="7">
        <v>0.76500000000000001</v>
      </c>
      <c r="O73" s="7">
        <v>0.03</v>
      </c>
    </row>
    <row r="74" spans="1:15" x14ac:dyDescent="0.25">
      <c r="A74">
        <v>22</v>
      </c>
      <c r="B74">
        <v>27141</v>
      </c>
      <c r="C74" t="s">
        <v>51</v>
      </c>
      <c r="D74" t="s">
        <v>64</v>
      </c>
      <c r="E74" t="s">
        <v>13</v>
      </c>
      <c r="F74" s="1">
        <v>42105</v>
      </c>
      <c r="G74">
        <v>10</v>
      </c>
      <c r="H74" s="1">
        <v>30808</v>
      </c>
      <c r="I74">
        <v>41</v>
      </c>
      <c r="J74" t="s">
        <v>65</v>
      </c>
      <c r="K74">
        <v>15173</v>
      </c>
      <c r="L74">
        <v>0.85</v>
      </c>
      <c r="M74">
        <v>0.96</v>
      </c>
      <c r="N74" s="7">
        <v>0.90500000000000003</v>
      </c>
      <c r="O74" s="7">
        <v>0.11</v>
      </c>
    </row>
    <row r="75" spans="1:15" x14ac:dyDescent="0.25">
      <c r="A75">
        <v>23</v>
      </c>
      <c r="B75">
        <v>26448</v>
      </c>
      <c r="C75" t="s">
        <v>66</v>
      </c>
      <c r="D75" t="s">
        <v>64</v>
      </c>
      <c r="E75" t="s">
        <v>13</v>
      </c>
      <c r="F75" s="1">
        <v>42469</v>
      </c>
      <c r="G75">
        <v>9</v>
      </c>
      <c r="H75" s="1">
        <v>30487</v>
      </c>
      <c r="I75">
        <v>42</v>
      </c>
      <c r="J75" t="s">
        <v>65</v>
      </c>
      <c r="K75">
        <v>18240</v>
      </c>
      <c r="L75">
        <v>0.89</v>
      </c>
      <c r="M75">
        <v>0.61</v>
      </c>
      <c r="N75" s="7">
        <v>0.75</v>
      </c>
      <c r="O75" s="7">
        <v>-0.28000000000000003</v>
      </c>
    </row>
    <row r="76" spans="1:15" x14ac:dyDescent="0.25">
      <c r="A76">
        <v>31</v>
      </c>
      <c r="B76">
        <v>26437</v>
      </c>
      <c r="C76" t="s">
        <v>61</v>
      </c>
      <c r="D76" t="s">
        <v>64</v>
      </c>
      <c r="E76" t="s">
        <v>13</v>
      </c>
      <c r="F76" s="1">
        <v>41923</v>
      </c>
      <c r="G76">
        <v>11</v>
      </c>
      <c r="H76" s="1">
        <v>27988</v>
      </c>
      <c r="I76">
        <v>49</v>
      </c>
      <c r="J76" t="s">
        <v>65</v>
      </c>
      <c r="K76">
        <v>3445</v>
      </c>
      <c r="L76">
        <v>0.78</v>
      </c>
      <c r="M76">
        <v>0.65</v>
      </c>
      <c r="N76" s="7">
        <v>0.71500000000000008</v>
      </c>
      <c r="O76" s="7">
        <v>-0.13</v>
      </c>
    </row>
    <row r="77" spans="1:15" x14ac:dyDescent="0.25">
      <c r="A77">
        <v>32</v>
      </c>
      <c r="B77">
        <v>27960</v>
      </c>
      <c r="C77" t="s">
        <v>43</v>
      </c>
      <c r="D77" t="s">
        <v>64</v>
      </c>
      <c r="E77" t="s">
        <v>22</v>
      </c>
      <c r="F77" s="1">
        <v>42417</v>
      </c>
      <c r="G77">
        <v>9</v>
      </c>
      <c r="H77" s="1">
        <v>23641</v>
      </c>
      <c r="I77">
        <v>61</v>
      </c>
      <c r="J77" t="s">
        <v>65</v>
      </c>
      <c r="K77">
        <v>13889</v>
      </c>
      <c r="L77">
        <v>0.85</v>
      </c>
      <c r="M77">
        <v>0.61</v>
      </c>
      <c r="N77" s="7">
        <v>0.73</v>
      </c>
      <c r="O77" s="7">
        <v>-0.24</v>
      </c>
    </row>
    <row r="78" spans="1:15" x14ac:dyDescent="0.25">
      <c r="A78">
        <v>37</v>
      </c>
      <c r="B78">
        <v>27003</v>
      </c>
      <c r="C78" t="s">
        <v>52</v>
      </c>
      <c r="D78" t="s">
        <v>64</v>
      </c>
      <c r="E78" t="s">
        <v>13</v>
      </c>
      <c r="F78" s="1">
        <v>43121</v>
      </c>
      <c r="G78">
        <v>7</v>
      </c>
      <c r="H78" s="1">
        <v>29256</v>
      </c>
      <c r="I78">
        <v>45</v>
      </c>
      <c r="J78" t="s">
        <v>65</v>
      </c>
      <c r="K78">
        <v>23467</v>
      </c>
      <c r="L78">
        <v>0.79</v>
      </c>
      <c r="M78">
        <v>0.95</v>
      </c>
      <c r="N78" s="7">
        <v>0.87</v>
      </c>
      <c r="O78" s="7">
        <v>0.16</v>
      </c>
    </row>
    <row r="79" spans="1:15" x14ac:dyDescent="0.25">
      <c r="A79">
        <v>38</v>
      </c>
      <c r="B79">
        <v>26440</v>
      </c>
      <c r="C79" t="s">
        <v>67</v>
      </c>
      <c r="D79" t="s">
        <v>64</v>
      </c>
      <c r="E79" t="s">
        <v>22</v>
      </c>
      <c r="F79" s="1">
        <v>43121</v>
      </c>
      <c r="G79">
        <v>7</v>
      </c>
      <c r="H79" s="1">
        <v>28364</v>
      </c>
      <c r="I79">
        <v>48</v>
      </c>
      <c r="J79" t="s">
        <v>65</v>
      </c>
      <c r="K79">
        <v>2486</v>
      </c>
      <c r="L79">
        <v>0.83</v>
      </c>
      <c r="M79">
        <v>0.67</v>
      </c>
      <c r="N79" s="7">
        <v>0.75</v>
      </c>
      <c r="O79" s="7">
        <v>-0.16</v>
      </c>
    </row>
    <row r="80" spans="1:15" x14ac:dyDescent="0.25">
      <c r="A80">
        <v>39</v>
      </c>
      <c r="B80">
        <v>26433</v>
      </c>
      <c r="C80" t="s">
        <v>27</v>
      </c>
      <c r="D80" t="s">
        <v>64</v>
      </c>
      <c r="E80" t="s">
        <v>22</v>
      </c>
      <c r="F80" s="1">
        <v>43121</v>
      </c>
      <c r="G80">
        <v>7</v>
      </c>
      <c r="H80" s="1">
        <v>23497</v>
      </c>
      <c r="I80">
        <v>61</v>
      </c>
      <c r="J80" t="s">
        <v>65</v>
      </c>
      <c r="K80">
        <v>9365</v>
      </c>
      <c r="L80">
        <v>0.84</v>
      </c>
      <c r="M80">
        <v>0.4</v>
      </c>
      <c r="N80" s="7">
        <v>0.62</v>
      </c>
      <c r="O80" s="7">
        <v>-0.44</v>
      </c>
    </row>
    <row r="81" spans="1:15" x14ac:dyDescent="0.25">
      <c r="A81">
        <v>40</v>
      </c>
      <c r="B81">
        <v>31457</v>
      </c>
      <c r="C81" t="s">
        <v>25</v>
      </c>
      <c r="D81" t="s">
        <v>64</v>
      </c>
      <c r="E81" t="s">
        <v>13</v>
      </c>
      <c r="F81" s="1">
        <v>36312</v>
      </c>
      <c r="G81">
        <v>26</v>
      </c>
      <c r="H81" s="1">
        <v>23532</v>
      </c>
      <c r="I81">
        <v>61</v>
      </c>
      <c r="J81" t="s">
        <v>65</v>
      </c>
      <c r="K81">
        <v>22438</v>
      </c>
      <c r="L81">
        <v>0.82</v>
      </c>
      <c r="M81">
        <v>0.56999999999999995</v>
      </c>
      <c r="N81" s="7">
        <v>0.69499999999999995</v>
      </c>
      <c r="O81" s="7">
        <v>-0.25</v>
      </c>
    </row>
    <row r="82" spans="1:15" x14ac:dyDescent="0.25">
      <c r="A82">
        <v>41</v>
      </c>
      <c r="B82">
        <v>27648</v>
      </c>
      <c r="C82" t="s">
        <v>11</v>
      </c>
      <c r="D82" t="s">
        <v>64</v>
      </c>
      <c r="E82" t="s">
        <v>13</v>
      </c>
      <c r="F82" s="1">
        <v>38115</v>
      </c>
      <c r="G82">
        <v>21</v>
      </c>
      <c r="H82" s="1">
        <v>32743</v>
      </c>
      <c r="I82">
        <v>36</v>
      </c>
      <c r="J82" t="s">
        <v>65</v>
      </c>
      <c r="K82">
        <v>20869</v>
      </c>
      <c r="L82">
        <v>0.77</v>
      </c>
      <c r="M82">
        <v>0.41</v>
      </c>
      <c r="N82" s="7">
        <v>0.59</v>
      </c>
      <c r="O82" s="7">
        <v>-0.36</v>
      </c>
    </row>
    <row r="83" spans="1:15" x14ac:dyDescent="0.25">
      <c r="A83">
        <v>42</v>
      </c>
      <c r="B83">
        <v>27858</v>
      </c>
      <c r="C83" t="s">
        <v>62</v>
      </c>
      <c r="D83" t="s">
        <v>64</v>
      </c>
      <c r="E83" t="s">
        <v>22</v>
      </c>
      <c r="F83" s="1">
        <v>40850</v>
      </c>
      <c r="G83">
        <v>14</v>
      </c>
      <c r="H83" s="1">
        <v>28621</v>
      </c>
      <c r="I83">
        <v>47</v>
      </c>
      <c r="J83" t="s">
        <v>65</v>
      </c>
      <c r="K83">
        <v>1428</v>
      </c>
      <c r="L83">
        <v>0.87</v>
      </c>
      <c r="M83">
        <v>0.96</v>
      </c>
      <c r="N83" s="7">
        <v>0.91500000000000004</v>
      </c>
      <c r="O83" s="7">
        <v>0.09</v>
      </c>
    </row>
    <row r="84" spans="1:15" x14ac:dyDescent="0.25">
      <c r="A84">
        <v>43</v>
      </c>
      <c r="B84">
        <v>26444</v>
      </c>
      <c r="C84" t="s">
        <v>29</v>
      </c>
      <c r="D84" t="s">
        <v>64</v>
      </c>
      <c r="E84" t="s">
        <v>13</v>
      </c>
      <c r="F84" s="1">
        <v>35868</v>
      </c>
      <c r="G84">
        <v>27</v>
      </c>
      <c r="H84" s="1">
        <v>28782</v>
      </c>
      <c r="I84">
        <v>47</v>
      </c>
      <c r="J84" t="s">
        <v>65</v>
      </c>
      <c r="K84">
        <v>16767</v>
      </c>
      <c r="L84">
        <v>0.84</v>
      </c>
      <c r="M84">
        <v>0.69</v>
      </c>
      <c r="N84" s="7">
        <v>0.7649999999999999</v>
      </c>
      <c r="O84" s="7">
        <v>-0.15</v>
      </c>
    </row>
    <row r="85" spans="1:15" x14ac:dyDescent="0.25">
      <c r="A85">
        <v>51</v>
      </c>
      <c r="B85">
        <v>28126</v>
      </c>
      <c r="C85" t="s">
        <v>46</v>
      </c>
      <c r="D85" t="s">
        <v>64</v>
      </c>
      <c r="E85" t="s">
        <v>13</v>
      </c>
      <c r="F85" s="1">
        <v>38930</v>
      </c>
      <c r="G85">
        <v>19</v>
      </c>
      <c r="H85" s="1">
        <v>28166</v>
      </c>
      <c r="I85">
        <v>48</v>
      </c>
      <c r="J85" t="s">
        <v>65</v>
      </c>
      <c r="K85">
        <v>12122</v>
      </c>
      <c r="L85">
        <v>0.76</v>
      </c>
      <c r="M85">
        <v>0.67</v>
      </c>
      <c r="N85" s="7">
        <v>0.71500000000000008</v>
      </c>
      <c r="O85" s="7">
        <v>-0.09</v>
      </c>
    </row>
    <row r="86" spans="1:15" x14ac:dyDescent="0.25">
      <c r="A86">
        <v>52</v>
      </c>
      <c r="B86">
        <v>26413</v>
      </c>
      <c r="C86" t="s">
        <v>26</v>
      </c>
      <c r="D86" t="s">
        <v>64</v>
      </c>
      <c r="E86" t="s">
        <v>22</v>
      </c>
      <c r="F86" s="1">
        <v>39144</v>
      </c>
      <c r="G86">
        <v>18</v>
      </c>
      <c r="H86" s="1">
        <v>25356</v>
      </c>
      <c r="I86">
        <v>56</v>
      </c>
      <c r="J86" t="s">
        <v>65</v>
      </c>
      <c r="K86">
        <v>24004</v>
      </c>
      <c r="L86">
        <v>0.81</v>
      </c>
      <c r="M86">
        <v>0.77</v>
      </c>
      <c r="N86" s="7">
        <v>0.79</v>
      </c>
      <c r="O86" s="7">
        <v>-0.04</v>
      </c>
    </row>
    <row r="87" spans="1:15" x14ac:dyDescent="0.25">
      <c r="A87">
        <v>59</v>
      </c>
      <c r="B87">
        <v>26347</v>
      </c>
      <c r="C87" t="s">
        <v>66</v>
      </c>
      <c r="D87" t="s">
        <v>64</v>
      </c>
      <c r="E87" t="s">
        <v>22</v>
      </c>
      <c r="F87" s="1">
        <v>42576</v>
      </c>
      <c r="G87">
        <v>9</v>
      </c>
      <c r="H87" s="1">
        <v>32599</v>
      </c>
      <c r="I87">
        <v>36</v>
      </c>
      <c r="J87" t="s">
        <v>65</v>
      </c>
      <c r="K87">
        <v>7329</v>
      </c>
      <c r="L87">
        <v>0.86</v>
      </c>
      <c r="M87">
        <v>0.61</v>
      </c>
      <c r="N87" s="7">
        <v>0.73499999999999999</v>
      </c>
      <c r="O87" s="7">
        <v>-0.25</v>
      </c>
    </row>
    <row r="88" spans="1:15" x14ac:dyDescent="0.25">
      <c r="A88">
        <v>60</v>
      </c>
      <c r="B88">
        <v>26430</v>
      </c>
      <c r="C88" t="s">
        <v>58</v>
      </c>
      <c r="D88" t="s">
        <v>64</v>
      </c>
      <c r="E88" t="s">
        <v>22</v>
      </c>
      <c r="F88" s="1">
        <v>41951</v>
      </c>
      <c r="G88">
        <v>11</v>
      </c>
      <c r="H88" s="1">
        <v>25803</v>
      </c>
      <c r="I88">
        <v>55</v>
      </c>
      <c r="J88" t="s">
        <v>65</v>
      </c>
      <c r="K88">
        <v>20603</v>
      </c>
      <c r="L88">
        <v>0.88</v>
      </c>
      <c r="M88">
        <v>0.76</v>
      </c>
      <c r="N88" s="7">
        <v>0.82000000000000006</v>
      </c>
      <c r="O88" s="7">
        <v>-0.12</v>
      </c>
    </row>
    <row r="89" spans="1:15" x14ac:dyDescent="0.25">
      <c r="A89">
        <v>72</v>
      </c>
      <c r="B89">
        <v>26991</v>
      </c>
      <c r="C89" t="s">
        <v>67</v>
      </c>
      <c r="D89" t="s">
        <v>64</v>
      </c>
      <c r="E89" t="s">
        <v>13</v>
      </c>
      <c r="F89" s="1">
        <v>40952</v>
      </c>
      <c r="G89">
        <v>13</v>
      </c>
      <c r="H89" s="1">
        <v>29256</v>
      </c>
      <c r="I89">
        <v>45</v>
      </c>
      <c r="J89" t="s">
        <v>65</v>
      </c>
      <c r="K89">
        <v>18091</v>
      </c>
      <c r="L89">
        <v>0.84</v>
      </c>
      <c r="M89">
        <v>0.91</v>
      </c>
      <c r="N89" s="7">
        <v>0.875</v>
      </c>
      <c r="O89" s="7">
        <v>7.0000000000000104E-2</v>
      </c>
    </row>
    <row r="90" spans="1:15" x14ac:dyDescent="0.25">
      <c r="A90">
        <v>73</v>
      </c>
      <c r="B90">
        <v>27618</v>
      </c>
      <c r="C90" t="s">
        <v>27</v>
      </c>
      <c r="D90" t="s">
        <v>64</v>
      </c>
      <c r="E90" t="s">
        <v>13</v>
      </c>
      <c r="F90" s="1">
        <v>42036</v>
      </c>
      <c r="G90">
        <v>10</v>
      </c>
      <c r="H90" s="1">
        <v>26362</v>
      </c>
      <c r="I90">
        <v>53</v>
      </c>
      <c r="J90" t="s">
        <v>65</v>
      </c>
      <c r="K90">
        <v>21390</v>
      </c>
      <c r="L90">
        <v>0.76</v>
      </c>
      <c r="M90">
        <v>0.89</v>
      </c>
      <c r="N90" s="7">
        <v>0.82499999999999996</v>
      </c>
      <c r="O90" s="7">
        <v>0.13</v>
      </c>
    </row>
    <row r="91" spans="1:15" x14ac:dyDescent="0.25">
      <c r="A91">
        <v>78</v>
      </c>
      <c r="B91">
        <v>28166</v>
      </c>
      <c r="C91" t="s">
        <v>33</v>
      </c>
      <c r="D91" t="s">
        <v>64</v>
      </c>
      <c r="E91" t="s">
        <v>22</v>
      </c>
      <c r="F91" s="1">
        <v>42476</v>
      </c>
      <c r="G91">
        <v>9</v>
      </c>
      <c r="H91" s="1">
        <v>30536</v>
      </c>
      <c r="I91">
        <v>42</v>
      </c>
      <c r="J91" t="s">
        <v>65</v>
      </c>
      <c r="K91">
        <v>13943</v>
      </c>
      <c r="L91">
        <v>0.78</v>
      </c>
      <c r="M91">
        <v>0.78</v>
      </c>
      <c r="N91" s="7">
        <v>0.78</v>
      </c>
      <c r="O91" s="7">
        <v>0</v>
      </c>
    </row>
    <row r="92" spans="1:15" x14ac:dyDescent="0.25">
      <c r="A92">
        <v>79</v>
      </c>
      <c r="B92">
        <v>27004</v>
      </c>
      <c r="C92" t="s">
        <v>48</v>
      </c>
      <c r="D92" t="s">
        <v>64</v>
      </c>
      <c r="E92" t="s">
        <v>22</v>
      </c>
      <c r="F92" s="1">
        <v>35217</v>
      </c>
      <c r="G92">
        <v>29</v>
      </c>
      <c r="H92" s="1">
        <v>28157</v>
      </c>
      <c r="I92">
        <v>48</v>
      </c>
      <c r="J92" t="s">
        <v>65</v>
      </c>
      <c r="K92">
        <v>9011</v>
      </c>
      <c r="L92">
        <v>0.79</v>
      </c>
      <c r="M92">
        <v>0.46</v>
      </c>
      <c r="N92" s="7">
        <v>0.625</v>
      </c>
      <c r="O92" s="7">
        <v>-0.33</v>
      </c>
    </row>
    <row r="93" spans="1:15" x14ac:dyDescent="0.25">
      <c r="A93">
        <v>80</v>
      </c>
      <c r="B93">
        <v>27649</v>
      </c>
      <c r="C93" t="s">
        <v>37</v>
      </c>
      <c r="D93" t="s">
        <v>64</v>
      </c>
      <c r="E93" t="s">
        <v>22</v>
      </c>
      <c r="F93" s="1">
        <v>35389</v>
      </c>
      <c r="G93">
        <v>29</v>
      </c>
      <c r="H93" s="1">
        <v>28970</v>
      </c>
      <c r="I93">
        <v>46</v>
      </c>
      <c r="J93" t="s">
        <v>65</v>
      </c>
      <c r="K93">
        <v>5390</v>
      </c>
      <c r="L93">
        <v>0.81</v>
      </c>
      <c r="M93">
        <v>0.4</v>
      </c>
      <c r="N93" s="7">
        <v>0.60499999999999998</v>
      </c>
      <c r="O93" s="7">
        <v>-0.41</v>
      </c>
    </row>
    <row r="94" spans="1:15" x14ac:dyDescent="0.25">
      <c r="A94">
        <v>81</v>
      </c>
      <c r="B94">
        <v>26998</v>
      </c>
      <c r="C94" t="s">
        <v>38</v>
      </c>
      <c r="D94" t="s">
        <v>64</v>
      </c>
      <c r="E94" t="s">
        <v>22</v>
      </c>
      <c r="F94" s="1">
        <v>35966</v>
      </c>
      <c r="G94">
        <v>27</v>
      </c>
      <c r="H94" s="1">
        <v>27774</v>
      </c>
      <c r="I94">
        <v>49</v>
      </c>
      <c r="J94" t="s">
        <v>65</v>
      </c>
      <c r="K94">
        <v>19015</v>
      </c>
      <c r="L94">
        <v>0.84</v>
      </c>
      <c r="M94">
        <v>0.65</v>
      </c>
      <c r="N94" s="7">
        <v>0.745</v>
      </c>
      <c r="O94" s="7">
        <v>-0.19</v>
      </c>
    </row>
    <row r="95" spans="1:15" x14ac:dyDescent="0.25">
      <c r="A95">
        <v>82</v>
      </c>
      <c r="B95">
        <v>31455</v>
      </c>
      <c r="C95" t="s">
        <v>15</v>
      </c>
      <c r="D95" t="s">
        <v>64</v>
      </c>
      <c r="E95" t="s">
        <v>19</v>
      </c>
      <c r="F95" s="1">
        <v>36904</v>
      </c>
      <c r="G95">
        <v>24</v>
      </c>
      <c r="H95" s="1">
        <v>29124</v>
      </c>
      <c r="I95">
        <v>46</v>
      </c>
      <c r="J95" t="s">
        <v>65</v>
      </c>
      <c r="K95">
        <v>8138</v>
      </c>
      <c r="L95">
        <v>0.82</v>
      </c>
      <c r="M95">
        <v>0.83</v>
      </c>
      <c r="N95" s="7">
        <v>0.82499999999999996</v>
      </c>
      <c r="O95" s="7">
        <v>0.01</v>
      </c>
    </row>
    <row r="96" spans="1:15" x14ac:dyDescent="0.25">
      <c r="A96">
        <v>89</v>
      </c>
      <c r="B96">
        <v>26425</v>
      </c>
      <c r="C96" t="s">
        <v>40</v>
      </c>
      <c r="D96" t="s">
        <v>64</v>
      </c>
      <c r="E96" t="s">
        <v>19</v>
      </c>
      <c r="F96" s="1">
        <v>41191</v>
      </c>
      <c r="G96">
        <v>13</v>
      </c>
      <c r="H96" s="1">
        <v>26439</v>
      </c>
      <c r="I96">
        <v>53</v>
      </c>
      <c r="J96" t="s">
        <v>65</v>
      </c>
      <c r="K96">
        <v>5061</v>
      </c>
      <c r="L96">
        <v>0.75</v>
      </c>
      <c r="M96">
        <v>0.67</v>
      </c>
      <c r="N96" s="7">
        <v>0.71</v>
      </c>
      <c r="O96" s="7">
        <v>-0.08</v>
      </c>
    </row>
    <row r="97" spans="1:15" x14ac:dyDescent="0.25">
      <c r="A97">
        <v>90</v>
      </c>
      <c r="B97">
        <v>26421</v>
      </c>
      <c r="C97" t="s">
        <v>41</v>
      </c>
      <c r="D97" t="s">
        <v>64</v>
      </c>
      <c r="E97" t="s">
        <v>13</v>
      </c>
      <c r="F97" s="1">
        <v>41378</v>
      </c>
      <c r="G97">
        <v>12</v>
      </c>
      <c r="H97" s="1">
        <v>26992</v>
      </c>
      <c r="I97">
        <v>52</v>
      </c>
      <c r="J97" t="s">
        <v>65</v>
      </c>
      <c r="K97">
        <v>8005</v>
      </c>
      <c r="L97">
        <v>0.85</v>
      </c>
      <c r="M97">
        <v>0.75</v>
      </c>
      <c r="N97" s="7">
        <v>0.8</v>
      </c>
      <c r="O97" s="7">
        <v>-0.1</v>
      </c>
    </row>
    <row r="98" spans="1:15" x14ac:dyDescent="0.25">
      <c r="A98">
        <v>91</v>
      </c>
      <c r="B98">
        <v>26419</v>
      </c>
      <c r="C98" t="s">
        <v>42</v>
      </c>
      <c r="D98" t="s">
        <v>64</v>
      </c>
      <c r="E98" t="s">
        <v>22</v>
      </c>
      <c r="F98" s="1">
        <v>41594</v>
      </c>
      <c r="G98">
        <v>12</v>
      </c>
      <c r="H98" s="1">
        <v>25655</v>
      </c>
      <c r="I98">
        <v>55</v>
      </c>
      <c r="J98" t="s">
        <v>65</v>
      </c>
      <c r="K98">
        <v>7002</v>
      </c>
      <c r="L98">
        <v>0.87</v>
      </c>
      <c r="M98">
        <v>0.6</v>
      </c>
      <c r="N98" s="7">
        <v>0.73499999999999999</v>
      </c>
      <c r="O98" s="7">
        <v>-0.27</v>
      </c>
    </row>
    <row r="99" spans="1:15" x14ac:dyDescent="0.25">
      <c r="A99">
        <v>92</v>
      </c>
      <c r="B99">
        <v>28927</v>
      </c>
      <c r="C99" t="s">
        <v>51</v>
      </c>
      <c r="D99" t="s">
        <v>64</v>
      </c>
      <c r="E99" t="s">
        <v>13</v>
      </c>
      <c r="F99" s="1">
        <v>41730</v>
      </c>
      <c r="G99">
        <v>11</v>
      </c>
      <c r="H99" s="1">
        <v>25254</v>
      </c>
      <c r="I99">
        <v>56</v>
      </c>
      <c r="J99" t="s">
        <v>65</v>
      </c>
      <c r="K99">
        <v>23284</v>
      </c>
      <c r="L99">
        <v>0.75</v>
      </c>
      <c r="M99">
        <v>0.84</v>
      </c>
      <c r="N99" s="7">
        <v>0.79499999999999993</v>
      </c>
      <c r="O99" s="7">
        <v>0.09</v>
      </c>
    </row>
    <row r="100" spans="1:15" x14ac:dyDescent="0.25">
      <c r="A100">
        <v>93</v>
      </c>
      <c r="B100">
        <v>26748</v>
      </c>
      <c r="C100" t="s">
        <v>66</v>
      </c>
      <c r="D100" t="s">
        <v>64</v>
      </c>
      <c r="E100" t="s">
        <v>13</v>
      </c>
      <c r="F100" s="1">
        <v>41771</v>
      </c>
      <c r="G100">
        <v>11</v>
      </c>
      <c r="H100" s="1">
        <v>29985</v>
      </c>
      <c r="I100">
        <v>43</v>
      </c>
      <c r="J100" t="s">
        <v>65</v>
      </c>
      <c r="K100">
        <v>20019</v>
      </c>
      <c r="L100">
        <v>0.89</v>
      </c>
      <c r="M100">
        <v>0.78</v>
      </c>
      <c r="N100" s="7">
        <v>0.83499999999999996</v>
      </c>
      <c r="O100" s="7">
        <v>-0.11</v>
      </c>
    </row>
    <row r="101" spans="1:15" x14ac:dyDescent="0.25">
      <c r="A101">
        <v>94</v>
      </c>
      <c r="B101">
        <v>27494</v>
      </c>
      <c r="C101" t="s">
        <v>58</v>
      </c>
      <c r="D101" t="s">
        <v>64</v>
      </c>
      <c r="E101" t="s">
        <v>22</v>
      </c>
      <c r="F101" s="1">
        <v>41771</v>
      </c>
      <c r="G101">
        <v>11</v>
      </c>
      <c r="H101" s="1">
        <v>28792</v>
      </c>
      <c r="I101">
        <v>47</v>
      </c>
      <c r="J101" t="s">
        <v>65</v>
      </c>
      <c r="K101">
        <v>11645</v>
      </c>
      <c r="L101">
        <v>0.8</v>
      </c>
      <c r="M101">
        <v>0.62</v>
      </c>
      <c r="N101" s="7">
        <v>0.71</v>
      </c>
      <c r="O101" s="7">
        <v>-0.18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CB39-38A3-46C3-9D0D-7939A018E919}">
  <sheetPr codeName="Sheet2"/>
  <dimension ref="A1:AD15"/>
  <sheetViews>
    <sheetView workbookViewId="0">
      <selection activeCell="AG24" sqref="AG24"/>
    </sheetView>
  </sheetViews>
  <sheetFormatPr defaultRowHeight="15" x14ac:dyDescent="0.25"/>
  <cols>
    <col min="1" max="1" width="13.140625" bestFit="1" customWidth="1"/>
    <col min="2" max="2" width="15.85546875" bestFit="1" customWidth="1"/>
    <col min="3" max="3" width="23.5703125" bestFit="1" customWidth="1"/>
    <col min="4" max="4" width="0.5703125" customWidth="1"/>
    <col min="5" max="5" width="13.140625" bestFit="1" customWidth="1"/>
    <col min="6" max="6" width="15.5703125" bestFit="1" customWidth="1"/>
    <col min="7" max="7" width="9" bestFit="1" customWidth="1"/>
    <col min="8" max="8" width="0.42578125" customWidth="1"/>
    <col min="9" max="9" width="13.140625" bestFit="1" customWidth="1"/>
    <col min="10" max="10" width="11" bestFit="1" customWidth="1"/>
    <col min="11" max="11" width="10.85546875" bestFit="1" customWidth="1"/>
    <col min="12" max="12" width="12.5703125" bestFit="1" customWidth="1"/>
    <col min="13" max="13" width="0.5703125" customWidth="1"/>
    <col min="14" max="14" width="29.85546875" bestFit="1" customWidth="1"/>
    <col min="15" max="15" width="16.28515625" bestFit="1" customWidth="1"/>
    <col min="16" max="16" width="7.7109375" bestFit="1" customWidth="1"/>
    <col min="17" max="17" width="6.7109375" bestFit="1" customWidth="1"/>
    <col min="18" max="18" width="1" customWidth="1"/>
    <col min="19" max="19" width="29.85546875" bestFit="1" customWidth="1"/>
    <col min="20" max="20" width="16.28515625" bestFit="1" customWidth="1"/>
    <col min="21" max="21" width="6" bestFit="1" customWidth="1"/>
    <col min="22" max="22" width="4.85546875" bestFit="1" customWidth="1"/>
    <col min="23" max="23" width="0.85546875" customWidth="1"/>
    <col min="24" max="24" width="13.140625" bestFit="1" customWidth="1"/>
    <col min="25" max="25" width="18.85546875" bestFit="1" customWidth="1"/>
    <col min="26" max="26" width="1" customWidth="1"/>
    <col min="27" max="27" width="18.85546875" bestFit="1" customWidth="1"/>
    <col min="28" max="28" width="16.28515625" bestFit="1" customWidth="1"/>
    <col min="29" max="29" width="6" bestFit="1" customWidth="1"/>
    <col min="30" max="30" width="4.85546875" bestFit="1" customWidth="1"/>
    <col min="31" max="32" width="6" bestFit="1" customWidth="1"/>
    <col min="33" max="33" width="23" bestFit="1" customWidth="1"/>
    <col min="34" max="35" width="6" bestFit="1" customWidth="1"/>
    <col min="36" max="36" width="15.85546875" bestFit="1" customWidth="1"/>
    <col min="37" max="37" width="11.42578125" bestFit="1" customWidth="1"/>
    <col min="38" max="38" width="7" bestFit="1" customWidth="1"/>
    <col min="39" max="39" width="6" bestFit="1" customWidth="1"/>
    <col min="40" max="40" width="20.7109375" bestFit="1" customWidth="1"/>
    <col min="41" max="41" width="6" bestFit="1" customWidth="1"/>
    <col min="42" max="42" width="5" bestFit="1" customWidth="1"/>
    <col min="43" max="43" width="11.28515625" bestFit="1" customWidth="1"/>
    <col min="44" max="50" width="5" bestFit="1" customWidth="1"/>
    <col min="51" max="51" width="4" bestFit="1" customWidth="1"/>
    <col min="52" max="58" width="5" bestFit="1" customWidth="1"/>
    <col min="59" max="59" width="11.28515625" bestFit="1" customWidth="1"/>
    <col min="60" max="91" width="16.28515625" bestFit="1" customWidth="1"/>
    <col min="92" max="92" width="11.28515625" bestFit="1" customWidth="1"/>
  </cols>
  <sheetData>
    <row r="1" spans="1:30" x14ac:dyDescent="0.25">
      <c r="A1" s="2" t="s">
        <v>68</v>
      </c>
      <c r="B1" t="s">
        <v>75</v>
      </c>
      <c r="C1" t="s">
        <v>76</v>
      </c>
      <c r="E1" s="2" t="s">
        <v>68</v>
      </c>
      <c r="F1" t="s">
        <v>79</v>
      </c>
      <c r="G1" t="s">
        <v>80</v>
      </c>
      <c r="I1" s="2" t="s">
        <v>68</v>
      </c>
      <c r="J1" t="s">
        <v>81</v>
      </c>
      <c r="K1" t="s">
        <v>82</v>
      </c>
      <c r="L1" t="s">
        <v>83</v>
      </c>
      <c r="N1" s="2" t="s">
        <v>77</v>
      </c>
      <c r="O1" s="2" t="s">
        <v>74</v>
      </c>
      <c r="S1" s="2" t="s">
        <v>78</v>
      </c>
      <c r="T1" s="2" t="s">
        <v>74</v>
      </c>
      <c r="X1" s="2" t="s">
        <v>68</v>
      </c>
      <c r="Y1" t="s">
        <v>78</v>
      </c>
      <c r="AA1" s="2" t="s">
        <v>78</v>
      </c>
      <c r="AB1" s="2" t="s">
        <v>74</v>
      </c>
    </row>
    <row r="2" spans="1:30" x14ac:dyDescent="0.25">
      <c r="A2" s="3" t="s">
        <v>22</v>
      </c>
      <c r="B2" s="5">
        <v>-0.15956521739130439</v>
      </c>
      <c r="C2" s="5">
        <v>0.73739130434782607</v>
      </c>
      <c r="E2" s="3" t="s">
        <v>22</v>
      </c>
      <c r="F2" s="11">
        <v>15.565217391304348</v>
      </c>
      <c r="G2" s="4">
        <v>51.804347826086953</v>
      </c>
      <c r="I2" s="3" t="s">
        <v>22</v>
      </c>
      <c r="J2" s="9">
        <v>24472</v>
      </c>
      <c r="K2" s="9">
        <v>13369.434782608696</v>
      </c>
      <c r="L2" s="9">
        <v>1428</v>
      </c>
      <c r="N2" s="2" t="s">
        <v>68</v>
      </c>
      <c r="O2" t="s">
        <v>22</v>
      </c>
      <c r="P2" t="s">
        <v>13</v>
      </c>
      <c r="Q2" t="s">
        <v>19</v>
      </c>
      <c r="S2" s="2" t="s">
        <v>68</v>
      </c>
      <c r="T2" t="s">
        <v>22</v>
      </c>
      <c r="U2" t="s">
        <v>13</v>
      </c>
      <c r="V2" t="s">
        <v>19</v>
      </c>
      <c r="X2" s="3" t="s">
        <v>22</v>
      </c>
      <c r="Y2" s="24">
        <v>46</v>
      </c>
      <c r="AA2" s="2" t="s">
        <v>68</v>
      </c>
      <c r="AB2" t="s">
        <v>22</v>
      </c>
      <c r="AC2" t="s">
        <v>13</v>
      </c>
      <c r="AD2" t="s">
        <v>19</v>
      </c>
    </row>
    <row r="3" spans="1:30" x14ac:dyDescent="0.25">
      <c r="A3" s="3" t="s">
        <v>13</v>
      </c>
      <c r="B3" s="5">
        <v>-4.7222222222222228E-2</v>
      </c>
      <c r="C3" s="5">
        <v>0.79611111111111121</v>
      </c>
      <c r="E3" s="3" t="s">
        <v>13</v>
      </c>
      <c r="F3" s="11">
        <v>14.055555555555555</v>
      </c>
      <c r="G3" s="4">
        <v>51.055555555555557</v>
      </c>
      <c r="I3" s="3" t="s">
        <v>13</v>
      </c>
      <c r="J3" s="9">
        <v>35000</v>
      </c>
      <c r="K3" s="9">
        <v>13490</v>
      </c>
      <c r="L3" s="9">
        <v>1673</v>
      </c>
      <c r="N3" s="3" t="s">
        <v>16</v>
      </c>
      <c r="O3" s="10">
        <v>40334</v>
      </c>
      <c r="P3" s="10">
        <v>32020</v>
      </c>
      <c r="Q3" s="10">
        <v>40893</v>
      </c>
      <c r="S3" s="3" t="s">
        <v>16</v>
      </c>
      <c r="T3" s="24">
        <v>2</v>
      </c>
      <c r="U3" s="24">
        <v>3</v>
      </c>
      <c r="V3" s="24">
        <v>4</v>
      </c>
      <c r="X3" s="3" t="s">
        <v>13</v>
      </c>
      <c r="Y3" s="24">
        <v>36</v>
      </c>
      <c r="AA3" s="3" t="s">
        <v>17</v>
      </c>
      <c r="AB3" s="24">
        <v>27</v>
      </c>
      <c r="AC3" s="24">
        <v>21</v>
      </c>
      <c r="AD3" s="24">
        <v>12</v>
      </c>
    </row>
    <row r="4" spans="1:30" x14ac:dyDescent="0.25">
      <c r="A4" s="3" t="s">
        <v>19</v>
      </c>
      <c r="B4" s="5">
        <v>-8.7777777777777788E-2</v>
      </c>
      <c r="C4" s="5">
        <v>0.77444444444444427</v>
      </c>
      <c r="E4" s="3" t="s">
        <v>19</v>
      </c>
      <c r="F4" s="11">
        <v>14.166666666666666</v>
      </c>
      <c r="G4" s="4">
        <v>50.166666666666664</v>
      </c>
      <c r="I4" s="3" t="s">
        <v>19</v>
      </c>
      <c r="J4" s="9">
        <v>25000</v>
      </c>
      <c r="K4" s="9">
        <v>12029.333333333334</v>
      </c>
      <c r="L4" s="9">
        <v>1952</v>
      </c>
      <c r="N4" s="3" t="s">
        <v>55</v>
      </c>
      <c r="O4" s="10">
        <v>42080</v>
      </c>
      <c r="P4" s="10">
        <v>25638</v>
      </c>
      <c r="Q4" s="10"/>
      <c r="S4" s="3" t="s">
        <v>55</v>
      </c>
      <c r="T4" s="24">
        <v>2</v>
      </c>
      <c r="U4" s="24">
        <v>3</v>
      </c>
      <c r="V4" s="24"/>
      <c r="X4" s="3" t="s">
        <v>19</v>
      </c>
      <c r="Y4" s="24">
        <v>18</v>
      </c>
      <c r="AA4" s="3" t="s">
        <v>65</v>
      </c>
      <c r="AB4" s="24">
        <v>18</v>
      </c>
      <c r="AC4" s="24">
        <v>14</v>
      </c>
      <c r="AD4" s="24">
        <v>4</v>
      </c>
    </row>
    <row r="5" spans="1:30" x14ac:dyDescent="0.25">
      <c r="A5" s="3" t="s">
        <v>69</v>
      </c>
      <c r="B5" s="5">
        <v>-0.10619999999999996</v>
      </c>
      <c r="C5" s="5">
        <v>0.7652000000000001</v>
      </c>
      <c r="E5" s="3" t="s">
        <v>69</v>
      </c>
      <c r="F5" s="11">
        <v>14.77</v>
      </c>
      <c r="G5" s="4">
        <v>51.24</v>
      </c>
      <c r="I5" s="3" t="s">
        <v>69</v>
      </c>
      <c r="J5" s="24">
        <v>35000</v>
      </c>
      <c r="K5" s="4">
        <v>13171.62</v>
      </c>
      <c r="L5" s="24">
        <v>1428</v>
      </c>
      <c r="N5" s="3" t="s">
        <v>12</v>
      </c>
      <c r="O5" s="10"/>
      <c r="P5" s="10">
        <v>26520</v>
      </c>
      <c r="Q5" s="10"/>
      <c r="S5" s="3" t="s">
        <v>12</v>
      </c>
      <c r="T5" s="24"/>
      <c r="U5" s="24">
        <v>1</v>
      </c>
      <c r="V5" s="24"/>
      <c r="AA5" s="3" t="s">
        <v>14</v>
      </c>
      <c r="AB5" s="24">
        <v>1</v>
      </c>
      <c r="AC5" s="24">
        <v>1</v>
      </c>
      <c r="AD5" s="24">
        <v>2</v>
      </c>
    </row>
    <row r="6" spans="1:30" x14ac:dyDescent="0.25">
      <c r="N6" s="3" t="s">
        <v>34</v>
      </c>
      <c r="O6" s="10">
        <v>11445</v>
      </c>
      <c r="P6" s="10">
        <v>32267</v>
      </c>
      <c r="Q6" s="10">
        <v>29348</v>
      </c>
      <c r="S6" s="3" t="s">
        <v>34</v>
      </c>
      <c r="T6" s="24">
        <v>1</v>
      </c>
      <c r="U6" s="24">
        <v>2</v>
      </c>
      <c r="V6" s="24">
        <v>3</v>
      </c>
    </row>
    <row r="7" spans="1:30" x14ac:dyDescent="0.25">
      <c r="N7" s="3" t="s">
        <v>28</v>
      </c>
      <c r="O7" s="10">
        <v>20500</v>
      </c>
      <c r="P7" s="10"/>
      <c r="Q7" s="10"/>
      <c r="S7" s="3" t="s">
        <v>28</v>
      </c>
      <c r="T7" s="24">
        <v>1</v>
      </c>
      <c r="U7" s="24"/>
      <c r="V7" s="24"/>
    </row>
    <row r="8" spans="1:30" x14ac:dyDescent="0.25">
      <c r="N8" s="3" t="s">
        <v>30</v>
      </c>
      <c r="O8" s="10">
        <v>37121</v>
      </c>
      <c r="P8" s="10">
        <v>6178</v>
      </c>
      <c r="Q8" s="10">
        <v>20121</v>
      </c>
      <c r="S8" s="3" t="s">
        <v>30</v>
      </c>
      <c r="T8" s="24">
        <v>3</v>
      </c>
      <c r="U8" s="24">
        <v>2</v>
      </c>
      <c r="V8" s="24">
        <v>1</v>
      </c>
      <c r="X8" s="2" t="s">
        <v>68</v>
      </c>
      <c r="Y8" t="s">
        <v>77</v>
      </c>
    </row>
    <row r="9" spans="1:30" x14ac:dyDescent="0.25">
      <c r="N9" s="3" t="s">
        <v>47</v>
      </c>
      <c r="O9" s="10"/>
      <c r="P9" s="10"/>
      <c r="Q9" s="10">
        <v>50000</v>
      </c>
      <c r="S9" s="3" t="s">
        <v>47</v>
      </c>
      <c r="T9" s="24"/>
      <c r="U9" s="24"/>
      <c r="V9" s="24">
        <v>2</v>
      </c>
      <c r="X9" s="3" t="s">
        <v>22</v>
      </c>
      <c r="Y9" s="8">
        <v>614994</v>
      </c>
    </row>
    <row r="10" spans="1:30" x14ac:dyDescent="0.25">
      <c r="N10" s="3" t="s">
        <v>54</v>
      </c>
      <c r="O10" s="10">
        <v>21575</v>
      </c>
      <c r="P10" s="10"/>
      <c r="Q10" s="10"/>
      <c r="S10" s="3" t="s">
        <v>54</v>
      </c>
      <c r="T10" s="24">
        <v>1</v>
      </c>
      <c r="U10" s="24"/>
      <c r="V10" s="24"/>
      <c r="X10" s="3" t="s">
        <v>13</v>
      </c>
      <c r="Y10" s="8">
        <v>485640</v>
      </c>
    </row>
    <row r="11" spans="1:30" x14ac:dyDescent="0.25">
      <c r="N11" s="3" t="s">
        <v>56</v>
      </c>
      <c r="O11" s="10">
        <v>105488</v>
      </c>
      <c r="P11" s="10">
        <v>54571</v>
      </c>
      <c r="Q11" s="10">
        <v>15730</v>
      </c>
      <c r="S11" s="3" t="s">
        <v>56</v>
      </c>
      <c r="T11" s="24">
        <v>6</v>
      </c>
      <c r="U11" s="24">
        <v>5</v>
      </c>
      <c r="V11" s="24">
        <v>1</v>
      </c>
      <c r="X11" s="3" t="s">
        <v>19</v>
      </c>
      <c r="Y11" s="8">
        <v>216528</v>
      </c>
    </row>
    <row r="12" spans="1:30" x14ac:dyDescent="0.25">
      <c r="N12" s="3" t="s">
        <v>32</v>
      </c>
      <c r="O12" s="10">
        <v>66243</v>
      </c>
      <c r="P12" s="10">
        <v>21765</v>
      </c>
      <c r="Q12" s="10">
        <v>19987</v>
      </c>
      <c r="S12" s="3" t="s">
        <v>32</v>
      </c>
      <c r="T12" s="24">
        <v>6</v>
      </c>
      <c r="U12" s="24">
        <v>3</v>
      </c>
      <c r="V12" s="24">
        <v>1</v>
      </c>
    </row>
    <row r="13" spans="1:30" x14ac:dyDescent="0.25">
      <c r="N13" s="3" t="s">
        <v>63</v>
      </c>
      <c r="O13" s="10"/>
      <c r="P13" s="10">
        <v>35000</v>
      </c>
      <c r="Q13" s="10"/>
      <c r="S13" s="3" t="s">
        <v>63</v>
      </c>
      <c r="T13" s="24"/>
      <c r="U13" s="24">
        <v>1</v>
      </c>
      <c r="V13" s="24"/>
    </row>
    <row r="14" spans="1:30" x14ac:dyDescent="0.25">
      <c r="N14" s="3" t="s">
        <v>64</v>
      </c>
      <c r="O14" s="10">
        <v>198100</v>
      </c>
      <c r="P14" s="10">
        <v>240525</v>
      </c>
      <c r="Q14" s="10">
        <v>36545</v>
      </c>
      <c r="S14" s="3" t="s">
        <v>64</v>
      </c>
      <c r="T14" s="24">
        <v>18</v>
      </c>
      <c r="U14" s="24">
        <v>14</v>
      </c>
      <c r="V14" s="24">
        <v>4</v>
      </c>
    </row>
    <row r="15" spans="1:30" x14ac:dyDescent="0.25">
      <c r="N15" s="3" t="s">
        <v>49</v>
      </c>
      <c r="O15" s="10">
        <v>72108</v>
      </c>
      <c r="P15" s="10">
        <v>11156</v>
      </c>
      <c r="Q15" s="10">
        <v>3904</v>
      </c>
      <c r="S15" s="3" t="s">
        <v>49</v>
      </c>
      <c r="T15" s="24">
        <v>6</v>
      </c>
      <c r="U15" s="24">
        <v>2</v>
      </c>
      <c r="V15" s="24">
        <v>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3DE09-6832-4058-ABFF-CD774E1F71CE}">
  <sheetPr codeName="Sheet3">
    <tabColor rgb="FF00B050"/>
  </sheetPr>
  <dimension ref="A1:V21"/>
  <sheetViews>
    <sheetView tabSelected="1" topLeftCell="B1" zoomScaleNormal="100" workbookViewId="0"/>
  </sheetViews>
  <sheetFormatPr defaultColWidth="0" defaultRowHeight="15" zeroHeight="1" x14ac:dyDescent="0.25"/>
  <cols>
    <col min="1" max="1" width="0" hidden="1" customWidth="1"/>
    <col min="2" max="20" width="9.140625" customWidth="1"/>
    <col min="23" max="16384" width="9.140625" hidden="1"/>
  </cols>
  <sheetData>
    <row r="1" spans="2:22" x14ac:dyDescent="0.25">
      <c r="B1" s="22"/>
      <c r="C1" s="22"/>
      <c r="D1" s="22"/>
      <c r="E1" s="22"/>
      <c r="F1" s="22"/>
      <c r="G1" s="22"/>
      <c r="H1" s="22"/>
      <c r="I1" s="22"/>
      <c r="J1" s="22"/>
      <c r="K1" s="22"/>
      <c r="L1" s="22"/>
      <c r="M1" s="22"/>
      <c r="N1" s="22"/>
      <c r="O1" s="22"/>
      <c r="P1" s="22"/>
      <c r="Q1" s="22"/>
      <c r="R1" s="22"/>
      <c r="S1" s="22"/>
      <c r="T1" s="22"/>
    </row>
    <row r="2" spans="2:22" x14ac:dyDescent="0.25">
      <c r="B2" s="22"/>
      <c r="C2" s="22"/>
      <c r="D2" s="22"/>
      <c r="E2" s="22"/>
      <c r="F2" s="22"/>
      <c r="G2" s="22"/>
      <c r="H2" s="22"/>
      <c r="I2" s="22"/>
      <c r="J2" s="22"/>
      <c r="K2" s="22"/>
      <c r="L2" s="22"/>
      <c r="M2" s="22"/>
      <c r="N2" s="22"/>
      <c r="O2" s="22"/>
      <c r="P2" s="22"/>
      <c r="Q2" s="22"/>
      <c r="R2" s="22"/>
      <c r="S2" s="22"/>
      <c r="T2" s="22"/>
    </row>
    <row r="3" spans="2:22" x14ac:dyDescent="0.25">
      <c r="B3" s="22"/>
      <c r="C3" s="22"/>
      <c r="D3" s="22"/>
      <c r="E3" s="22"/>
      <c r="F3" s="22"/>
      <c r="G3" s="22"/>
      <c r="H3" s="22"/>
      <c r="I3" s="22"/>
      <c r="J3" s="22"/>
      <c r="K3" s="22"/>
      <c r="L3" s="22"/>
      <c r="M3" s="22"/>
      <c r="N3" s="22"/>
      <c r="O3" s="22"/>
      <c r="P3" s="22"/>
      <c r="Q3" s="22"/>
      <c r="R3" s="22"/>
      <c r="S3" s="22"/>
      <c r="T3" s="22"/>
    </row>
    <row r="4" spans="2:22" x14ac:dyDescent="0.25">
      <c r="B4" s="22"/>
      <c r="C4" s="22"/>
      <c r="D4" s="22"/>
      <c r="E4" s="22"/>
      <c r="F4" s="22"/>
      <c r="G4" s="22"/>
      <c r="H4" s="22"/>
      <c r="I4" s="22"/>
      <c r="J4" s="22"/>
      <c r="K4" s="22"/>
      <c r="L4" s="22"/>
      <c r="M4" s="22"/>
      <c r="N4" s="22"/>
      <c r="O4" s="22"/>
      <c r="P4" s="22"/>
      <c r="Q4" s="22"/>
      <c r="R4" s="22"/>
      <c r="S4" s="22"/>
      <c r="T4" s="22"/>
    </row>
    <row r="5" spans="2:22" x14ac:dyDescent="0.25">
      <c r="B5" s="22"/>
      <c r="C5" s="22"/>
      <c r="D5" s="22"/>
      <c r="E5" s="22"/>
      <c r="F5" s="22"/>
      <c r="G5" s="22"/>
      <c r="H5" s="22"/>
      <c r="I5" s="22"/>
      <c r="J5" s="22"/>
      <c r="K5" s="22"/>
      <c r="L5" s="22"/>
      <c r="M5" s="22"/>
      <c r="N5" s="22"/>
      <c r="O5" s="22"/>
      <c r="P5" s="22"/>
      <c r="Q5" s="22"/>
      <c r="R5" s="22"/>
      <c r="S5" s="22"/>
      <c r="T5" s="22"/>
      <c r="V5" s="14"/>
    </row>
    <row r="6" spans="2:22" x14ac:dyDescent="0.25">
      <c r="B6" s="22"/>
      <c r="C6" s="22"/>
      <c r="D6" s="22"/>
      <c r="E6" s="22"/>
      <c r="F6" s="22"/>
      <c r="G6" s="22"/>
      <c r="H6" s="22"/>
      <c r="I6" s="22"/>
      <c r="J6" s="22"/>
      <c r="K6" s="22"/>
      <c r="L6" s="22"/>
      <c r="M6" s="22"/>
      <c r="N6" s="22"/>
      <c r="O6" s="22"/>
      <c r="P6" s="22"/>
      <c r="Q6" s="22"/>
      <c r="R6" s="22"/>
      <c r="S6" s="22"/>
      <c r="T6" s="22"/>
      <c r="V6" s="14"/>
    </row>
    <row r="7" spans="2:22" x14ac:dyDescent="0.25">
      <c r="B7" s="22"/>
      <c r="C7" s="22"/>
      <c r="D7" s="22"/>
      <c r="E7" s="22"/>
      <c r="F7" s="22"/>
      <c r="G7" s="22"/>
      <c r="H7" s="22"/>
      <c r="I7" s="22"/>
      <c r="J7" s="22"/>
      <c r="K7" s="22"/>
      <c r="L7" s="22"/>
      <c r="M7" s="22"/>
      <c r="N7" s="22"/>
      <c r="O7" s="22"/>
      <c r="P7" s="22"/>
      <c r="Q7" s="22"/>
      <c r="R7" s="22"/>
      <c r="S7" s="22"/>
      <c r="T7" s="22"/>
      <c r="V7" s="14">
        <f>COUNTA(Department_s_Info[اسم الموظف])</f>
        <v>100</v>
      </c>
    </row>
    <row r="8" spans="2:22" x14ac:dyDescent="0.25">
      <c r="B8" s="22"/>
      <c r="C8" s="22"/>
      <c r="D8" s="22"/>
      <c r="E8" s="22"/>
      <c r="F8" s="22"/>
      <c r="G8" s="22"/>
      <c r="H8" s="22"/>
      <c r="I8" s="22"/>
      <c r="J8" s="22"/>
      <c r="K8" s="22"/>
      <c r="L8" s="22"/>
      <c r="M8" s="22"/>
      <c r="N8" s="22"/>
      <c r="O8" s="22"/>
      <c r="P8" s="22"/>
      <c r="Q8" s="22"/>
      <c r="R8" s="22"/>
      <c r="S8" s="22"/>
      <c r="T8" s="22"/>
      <c r="V8" s="23">
        <f>AVERAGE(Department_s_Info[العمر])</f>
        <v>51.24</v>
      </c>
    </row>
    <row r="9" spans="2:22" x14ac:dyDescent="0.25">
      <c r="B9" s="22"/>
      <c r="C9" s="22"/>
      <c r="D9" s="22"/>
      <c r="E9" s="22"/>
      <c r="F9" s="22"/>
      <c r="G9" s="22"/>
      <c r="H9" s="22"/>
      <c r="I9" s="22"/>
      <c r="J9" s="22"/>
      <c r="K9" s="22"/>
      <c r="L9" s="22"/>
      <c r="M9" s="22"/>
      <c r="N9" s="22"/>
      <c r="O9" s="22"/>
      <c r="P9" s="22"/>
      <c r="Q9" s="22"/>
      <c r="R9" s="22"/>
      <c r="S9" s="22"/>
      <c r="T9" s="22"/>
      <c r="V9" s="14"/>
    </row>
    <row r="10" spans="2:22" x14ac:dyDescent="0.25">
      <c r="B10" s="22"/>
      <c r="C10" s="22"/>
      <c r="D10" s="22"/>
      <c r="E10" s="22"/>
      <c r="F10" s="22"/>
      <c r="G10" s="22"/>
      <c r="H10" s="22"/>
      <c r="I10" s="22"/>
      <c r="J10" s="22"/>
      <c r="K10" s="22"/>
      <c r="L10" s="22"/>
      <c r="M10" s="22"/>
      <c r="N10" s="22"/>
      <c r="O10" s="22"/>
      <c r="P10" s="22"/>
      <c r="Q10" s="22"/>
      <c r="R10" s="22"/>
      <c r="S10" s="22"/>
      <c r="T10" s="22"/>
      <c r="V10" s="14" t="str">
        <f>_xlfn.XLOOKUP(MAX(Department_s_Info[Delta]),Department_s_Info[Delta],Department_s_Info[اسم الموظف])</f>
        <v>اسراء عصام</v>
      </c>
    </row>
    <row r="11" spans="2:22" x14ac:dyDescent="0.25">
      <c r="B11" s="22"/>
      <c r="C11" s="22"/>
      <c r="D11" s="22"/>
      <c r="E11" s="22"/>
      <c r="F11" s="22"/>
      <c r="G11" s="22"/>
      <c r="H11" s="22"/>
      <c r="I11" s="22"/>
      <c r="J11" s="22"/>
      <c r="K11" s="22"/>
      <c r="L11" s="22"/>
      <c r="M11" s="22"/>
      <c r="N11" s="22"/>
      <c r="O11" s="22"/>
      <c r="P11" s="22"/>
      <c r="Q11" s="22"/>
      <c r="R11" s="22"/>
      <c r="S11" s="22"/>
      <c r="T11" s="22"/>
      <c r="V11" s="14"/>
    </row>
    <row r="12" spans="2:22" x14ac:dyDescent="0.25">
      <c r="B12" s="22"/>
      <c r="C12" s="22"/>
      <c r="D12" s="22"/>
      <c r="E12" s="22"/>
      <c r="F12" s="22"/>
      <c r="G12" s="22"/>
      <c r="H12" s="22"/>
      <c r="I12" s="22"/>
      <c r="J12" s="22"/>
      <c r="K12" s="22"/>
      <c r="L12" s="22"/>
      <c r="M12" s="22"/>
      <c r="N12" s="22"/>
      <c r="O12" s="22"/>
      <c r="P12" s="22"/>
      <c r="Q12" s="22"/>
      <c r="R12" s="22"/>
      <c r="S12" s="22"/>
      <c r="T12" s="22"/>
      <c r="V12" s="14"/>
    </row>
    <row r="13" spans="2:22" x14ac:dyDescent="0.25">
      <c r="B13" s="22"/>
      <c r="C13" s="22"/>
      <c r="D13" s="22"/>
      <c r="E13" s="22"/>
      <c r="F13" s="22"/>
      <c r="G13" s="22"/>
      <c r="H13" s="22"/>
      <c r="I13" s="22"/>
      <c r="J13" s="22"/>
      <c r="K13" s="22"/>
      <c r="L13" s="22"/>
      <c r="M13" s="22"/>
      <c r="N13" s="22"/>
      <c r="O13" s="22"/>
      <c r="P13" s="22"/>
      <c r="Q13" s="22"/>
      <c r="R13" s="22"/>
      <c r="S13" s="22"/>
      <c r="T13" s="22"/>
      <c r="V13" s="14"/>
    </row>
    <row r="14" spans="2:22" x14ac:dyDescent="0.25">
      <c r="B14" s="22"/>
      <c r="C14" s="22"/>
      <c r="D14" s="22"/>
      <c r="E14" s="22"/>
      <c r="F14" s="22"/>
      <c r="G14" s="22"/>
      <c r="H14" s="22"/>
      <c r="I14" s="22"/>
      <c r="J14" s="22"/>
      <c r="K14" s="22"/>
      <c r="L14" s="22"/>
      <c r="M14" s="22"/>
      <c r="N14" s="22"/>
      <c r="O14" s="22"/>
      <c r="P14" s="22"/>
      <c r="Q14" s="22"/>
      <c r="R14" s="22"/>
      <c r="S14" s="22"/>
      <c r="T14" s="22"/>
      <c r="V14" s="14"/>
    </row>
    <row r="15" spans="2:22" x14ac:dyDescent="0.25">
      <c r="B15" s="22"/>
      <c r="C15" s="22"/>
      <c r="D15" s="22"/>
      <c r="E15" s="22"/>
      <c r="F15" s="22"/>
      <c r="G15" s="22"/>
      <c r="H15" s="22"/>
      <c r="I15" s="22"/>
      <c r="J15" s="22"/>
      <c r="K15" s="22"/>
      <c r="L15" s="22"/>
      <c r="M15" s="22"/>
      <c r="N15" s="22"/>
      <c r="O15" s="22"/>
      <c r="P15" s="22"/>
      <c r="Q15" s="22"/>
      <c r="R15" s="22"/>
      <c r="S15" s="22"/>
      <c r="T15" s="22"/>
    </row>
    <row r="16" spans="2:22" x14ac:dyDescent="0.25">
      <c r="B16" s="22"/>
      <c r="C16" s="22"/>
      <c r="D16" s="22"/>
      <c r="E16" s="22"/>
      <c r="F16" s="22"/>
      <c r="G16" s="22"/>
      <c r="H16" s="22"/>
      <c r="I16" s="22"/>
      <c r="J16" s="22"/>
      <c r="K16" s="22"/>
      <c r="L16" s="22"/>
      <c r="M16" s="22"/>
      <c r="N16" s="22"/>
      <c r="O16" s="22"/>
      <c r="P16" s="22"/>
      <c r="Q16" s="22"/>
      <c r="R16" s="22"/>
      <c r="S16" s="22"/>
      <c r="T16" s="22"/>
    </row>
    <row r="17" spans="2:20" x14ac:dyDescent="0.25">
      <c r="B17" s="22"/>
      <c r="C17" s="22"/>
      <c r="D17" s="22"/>
      <c r="E17" s="22"/>
      <c r="F17" s="22"/>
      <c r="G17" s="22"/>
      <c r="H17" s="22"/>
      <c r="I17" s="22"/>
      <c r="J17" s="22"/>
      <c r="K17" s="22"/>
      <c r="L17" s="22"/>
      <c r="M17" s="22"/>
      <c r="N17" s="22"/>
      <c r="O17" s="22"/>
      <c r="P17" s="22"/>
      <c r="Q17" s="22"/>
      <c r="R17" s="22"/>
      <c r="S17" s="22"/>
      <c r="T17" s="22"/>
    </row>
    <row r="18" spans="2:20" x14ac:dyDescent="0.25">
      <c r="B18" s="22"/>
      <c r="C18" s="22"/>
      <c r="D18" s="22"/>
      <c r="E18" s="22"/>
      <c r="F18" s="22"/>
      <c r="G18" s="22"/>
      <c r="H18" s="22"/>
      <c r="I18" s="22"/>
      <c r="J18" s="22"/>
      <c r="K18" s="22"/>
      <c r="L18" s="22"/>
      <c r="M18" s="22"/>
      <c r="N18" s="22"/>
      <c r="O18" s="22"/>
      <c r="P18" s="22"/>
      <c r="Q18" s="22"/>
      <c r="R18" s="22"/>
      <c r="S18" s="22"/>
      <c r="T18" s="22"/>
    </row>
    <row r="19" spans="2:20" x14ac:dyDescent="0.25">
      <c r="B19" s="22"/>
      <c r="C19" s="22"/>
      <c r="D19" s="22"/>
      <c r="E19" s="22"/>
      <c r="F19" s="22"/>
      <c r="G19" s="22"/>
      <c r="H19" s="22"/>
      <c r="I19" s="22"/>
      <c r="J19" s="22"/>
      <c r="K19" s="22"/>
      <c r="L19" s="22"/>
      <c r="M19" s="22"/>
      <c r="N19" s="22"/>
      <c r="O19" s="22"/>
      <c r="P19" s="22"/>
      <c r="Q19" s="22"/>
      <c r="R19" s="22"/>
      <c r="S19" s="22"/>
      <c r="T19" s="22"/>
    </row>
    <row r="20" spans="2:20" x14ac:dyDescent="0.25">
      <c r="B20" s="22"/>
      <c r="C20" s="22"/>
      <c r="D20" s="22"/>
      <c r="E20" s="22"/>
      <c r="F20" s="22"/>
      <c r="G20" s="22"/>
      <c r="H20" s="22"/>
      <c r="I20" s="22"/>
      <c r="J20" s="22"/>
      <c r="K20" s="22"/>
      <c r="L20" s="22"/>
      <c r="M20" s="22"/>
      <c r="N20" s="22"/>
      <c r="O20" s="22"/>
      <c r="P20" s="22"/>
      <c r="Q20" s="22"/>
      <c r="R20" s="22"/>
      <c r="S20" s="22"/>
      <c r="T20" s="22"/>
    </row>
    <row r="21" spans="2:20" x14ac:dyDescent="0.25">
      <c r="B21" s="22"/>
      <c r="C21" s="22"/>
      <c r="D21" s="22"/>
      <c r="E21" s="22"/>
      <c r="F21" s="22"/>
      <c r="G21" s="22"/>
      <c r="H21" s="22"/>
      <c r="I21" s="22"/>
      <c r="J21" s="22"/>
      <c r="K21" s="22"/>
      <c r="L21" s="22"/>
      <c r="M21" s="22"/>
      <c r="N21" s="22"/>
      <c r="O21" s="22"/>
      <c r="P21" s="22"/>
      <c r="Q21" s="22"/>
      <c r="R21" s="22"/>
      <c r="S21" s="22"/>
      <c r="T21"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173B7-1642-4F60-A58D-6DD13A9152D3}">
  <sheetPr codeName="Sheet4">
    <tabColor rgb="FF92D050"/>
  </sheetPr>
  <dimension ref="A1:U21"/>
  <sheetViews>
    <sheetView showGridLines="0" showRowColHeaders="0" topLeftCell="B1" zoomScale="110" zoomScaleNormal="110" zoomScaleSheetLayoutView="106" workbookViewId="0">
      <selection activeCell="O6" sqref="O6:Q7"/>
    </sheetView>
  </sheetViews>
  <sheetFormatPr defaultColWidth="0" defaultRowHeight="15" zeroHeight="1" x14ac:dyDescent="0.25"/>
  <cols>
    <col min="1" max="1" width="0" hidden="1" customWidth="1"/>
    <col min="2" max="20" width="9.140625" customWidth="1"/>
    <col min="21" max="21" width="0" hidden="1" customWidth="1"/>
    <col min="22" max="16384" width="9.140625" hidden="1"/>
  </cols>
  <sheetData>
    <row r="1" spans="2:20" x14ac:dyDescent="0.25">
      <c r="B1" s="18"/>
      <c r="C1" s="18"/>
      <c r="D1" s="18"/>
      <c r="E1" s="18"/>
      <c r="F1" s="18"/>
      <c r="G1" s="18"/>
      <c r="H1" s="18"/>
      <c r="I1" s="18"/>
      <c r="J1" s="18"/>
      <c r="K1" s="18"/>
      <c r="L1" s="18"/>
      <c r="M1" s="18"/>
      <c r="N1" s="18"/>
      <c r="O1" s="18"/>
      <c r="P1" s="18"/>
      <c r="Q1" s="18"/>
      <c r="R1" s="18"/>
      <c r="S1" s="18"/>
      <c r="T1" s="18"/>
    </row>
    <row r="2" spans="2:20" x14ac:dyDescent="0.25">
      <c r="B2" s="18"/>
      <c r="C2" s="18"/>
      <c r="D2" s="18"/>
      <c r="E2" s="18"/>
      <c r="F2" s="18"/>
      <c r="G2" s="18"/>
      <c r="H2" s="18"/>
      <c r="I2" s="18"/>
      <c r="J2" s="18"/>
      <c r="K2" s="18"/>
      <c r="L2" s="18"/>
      <c r="M2" s="18"/>
      <c r="N2" s="18"/>
      <c r="O2" s="18"/>
      <c r="P2" s="18"/>
      <c r="Q2" s="18"/>
      <c r="R2" s="18"/>
      <c r="S2" s="18"/>
      <c r="T2" s="18"/>
    </row>
    <row r="3" spans="2:20" x14ac:dyDescent="0.25">
      <c r="B3" s="18"/>
      <c r="C3" s="18"/>
      <c r="D3" s="18"/>
      <c r="E3" s="18"/>
      <c r="F3" s="18"/>
      <c r="G3" s="18"/>
      <c r="H3" s="18"/>
      <c r="I3" s="18"/>
      <c r="J3" s="18"/>
      <c r="K3" s="18"/>
      <c r="L3" s="18"/>
      <c r="M3" s="18"/>
      <c r="N3" s="18"/>
      <c r="O3" s="18"/>
      <c r="P3" s="18"/>
      <c r="Q3" s="18"/>
      <c r="R3" s="18"/>
      <c r="S3" s="18"/>
      <c r="T3" s="18"/>
    </row>
    <row r="4" spans="2:20" x14ac:dyDescent="0.25">
      <c r="B4" s="18"/>
      <c r="C4" s="18"/>
      <c r="D4" s="18"/>
      <c r="E4" s="18"/>
      <c r="F4" s="18"/>
      <c r="G4" s="18"/>
      <c r="H4" s="18"/>
      <c r="I4" s="18"/>
      <c r="J4" s="18"/>
      <c r="K4" s="18"/>
      <c r="L4" s="18"/>
      <c r="M4" s="18"/>
      <c r="N4" s="18"/>
      <c r="O4" s="18"/>
      <c r="P4" s="18"/>
      <c r="Q4" s="18"/>
      <c r="R4" s="18"/>
      <c r="S4" s="18"/>
      <c r="T4" s="18"/>
    </row>
    <row r="5" spans="2:20" x14ac:dyDescent="0.25">
      <c r="B5" s="18"/>
      <c r="C5" s="18"/>
      <c r="D5" s="18"/>
      <c r="E5" s="18"/>
      <c r="F5" s="18"/>
      <c r="G5" s="18"/>
      <c r="H5" s="18"/>
      <c r="I5" s="18"/>
      <c r="J5" s="18"/>
      <c r="K5" s="18"/>
      <c r="L5" s="18"/>
      <c r="M5" s="18"/>
      <c r="N5" s="18"/>
      <c r="O5" s="18"/>
      <c r="P5" s="18"/>
      <c r="Q5" s="18"/>
      <c r="R5" s="18"/>
      <c r="S5" s="18"/>
      <c r="T5" s="18"/>
    </row>
    <row r="6" spans="2:20" ht="15" customHeight="1" x14ac:dyDescent="0.25">
      <c r="B6" s="19" t="s">
        <v>91</v>
      </c>
      <c r="C6" s="19"/>
      <c r="D6" s="19"/>
      <c r="E6" s="18"/>
      <c r="F6" s="20" t="s">
        <v>48</v>
      </c>
      <c r="G6" s="20"/>
      <c r="H6" s="20"/>
      <c r="I6" s="18"/>
      <c r="J6" s="18"/>
      <c r="K6" s="19" t="s">
        <v>86</v>
      </c>
      <c r="L6" s="19"/>
      <c r="M6" s="19"/>
      <c r="N6" s="18"/>
      <c r="O6" s="20" t="str">
        <f>_xlfn.XLOOKUP(F6,Department_s_Info[اسم الموظف],Department_s_Info[الموقع])</f>
        <v>الاسكندرية</v>
      </c>
      <c r="P6" s="20"/>
      <c r="Q6" s="20"/>
      <c r="R6" s="18"/>
      <c r="S6" s="18"/>
      <c r="T6" s="18"/>
    </row>
    <row r="7" spans="2:20" ht="15" customHeight="1" x14ac:dyDescent="0.25">
      <c r="B7" s="19"/>
      <c r="C7" s="19"/>
      <c r="D7" s="19"/>
      <c r="E7" s="18"/>
      <c r="F7" s="20"/>
      <c r="G7" s="20"/>
      <c r="H7" s="20"/>
      <c r="I7" s="18"/>
      <c r="J7" s="18"/>
      <c r="K7" s="19"/>
      <c r="L7" s="19"/>
      <c r="M7" s="19"/>
      <c r="N7" s="18"/>
      <c r="O7" s="20"/>
      <c r="P7" s="20"/>
      <c r="Q7" s="20"/>
      <c r="R7" s="18"/>
      <c r="S7" s="18"/>
      <c r="T7" s="18"/>
    </row>
    <row r="8" spans="2:20" x14ac:dyDescent="0.25">
      <c r="B8" s="18"/>
      <c r="C8" s="18"/>
      <c r="D8" s="18"/>
      <c r="E8" s="18"/>
      <c r="F8" s="18"/>
      <c r="G8" s="18"/>
      <c r="H8" s="18"/>
      <c r="I8" s="18"/>
      <c r="J8" s="18"/>
      <c r="K8" s="18"/>
      <c r="L8" s="18"/>
      <c r="M8" s="18"/>
      <c r="N8" s="18"/>
      <c r="O8" s="18"/>
      <c r="P8" s="18"/>
      <c r="Q8" s="18"/>
      <c r="R8" s="18"/>
      <c r="S8" s="18"/>
      <c r="T8" s="18"/>
    </row>
    <row r="9" spans="2:20" ht="15" customHeight="1" x14ac:dyDescent="0.25">
      <c r="B9" s="19" t="s">
        <v>84</v>
      </c>
      <c r="C9" s="19"/>
      <c r="D9" s="19"/>
      <c r="E9" s="18"/>
      <c r="F9" s="20">
        <f>_xlfn.XLOOKUP(F6,Department_s_Info[اسم الموظف],Department_s_Info[الرقم الوظيفي])</f>
        <v>26412</v>
      </c>
      <c r="G9" s="20"/>
      <c r="H9" s="20"/>
      <c r="I9" s="18"/>
      <c r="J9" s="18"/>
      <c r="K9" s="19" t="s">
        <v>87</v>
      </c>
      <c r="L9" s="19"/>
      <c r="M9" s="19"/>
      <c r="N9" s="18"/>
      <c r="O9" s="20">
        <f>_xlfn.XLOOKUP(F6,Department_s_Info[اسم الموظف],Department_s_Info[سنوات الخبرة])</f>
        <v>17</v>
      </c>
      <c r="P9" s="20"/>
      <c r="Q9" s="20"/>
      <c r="R9" s="18"/>
      <c r="S9" s="18"/>
      <c r="T9" s="18"/>
    </row>
    <row r="10" spans="2:20" ht="15" customHeight="1" x14ac:dyDescent="0.25">
      <c r="B10" s="19"/>
      <c r="C10" s="19"/>
      <c r="D10" s="19"/>
      <c r="E10" s="18"/>
      <c r="F10" s="20"/>
      <c r="G10" s="20"/>
      <c r="H10" s="20"/>
      <c r="I10" s="18"/>
      <c r="J10" s="18"/>
      <c r="K10" s="19"/>
      <c r="L10" s="19"/>
      <c r="M10" s="19"/>
      <c r="N10" s="18"/>
      <c r="O10" s="20"/>
      <c r="P10" s="20"/>
      <c r="Q10" s="20"/>
      <c r="R10" s="18"/>
      <c r="S10" s="18"/>
      <c r="T10" s="18"/>
    </row>
    <row r="11" spans="2:20" x14ac:dyDescent="0.25">
      <c r="B11" s="18"/>
      <c r="C11" s="18"/>
      <c r="D11" s="18"/>
      <c r="E11" s="18"/>
      <c r="F11" s="18"/>
      <c r="G11" s="18"/>
      <c r="H11" s="18"/>
      <c r="I11" s="18"/>
      <c r="J11" s="18"/>
      <c r="K11" s="18"/>
      <c r="L11" s="18"/>
      <c r="M11" s="18"/>
      <c r="N11" s="18"/>
      <c r="O11" s="18"/>
      <c r="P11" s="18"/>
      <c r="Q11" s="18"/>
      <c r="R11" s="18"/>
      <c r="S11" s="18"/>
      <c r="T11" s="18"/>
    </row>
    <row r="12" spans="2:20" ht="15" customHeight="1" x14ac:dyDescent="0.25">
      <c r="B12" s="19" t="s">
        <v>85</v>
      </c>
      <c r="C12" s="19"/>
      <c r="D12" s="19"/>
      <c r="E12" s="18"/>
      <c r="F12" s="20" t="str">
        <f>_xlfn.XLOOKUP(F6,Department_s_Info[اسم الموظف],Department_s_Info[الوظيفة])</f>
        <v>Software developer</v>
      </c>
      <c r="G12" s="20"/>
      <c r="H12" s="20"/>
      <c r="I12" s="20"/>
      <c r="J12" s="18"/>
      <c r="K12" s="19" t="s">
        <v>88</v>
      </c>
      <c r="L12" s="19"/>
      <c r="M12" s="19"/>
      <c r="N12" s="18"/>
      <c r="O12" s="20">
        <f>_xlfn.XLOOKUP(F6,Department_s_Info[اسم الموظف],Department_s_Info[العمر])</f>
        <v>41</v>
      </c>
      <c r="P12" s="20"/>
      <c r="Q12" s="20"/>
      <c r="R12" s="18"/>
      <c r="S12" s="18"/>
      <c r="T12" s="18"/>
    </row>
    <row r="13" spans="2:20" ht="15" customHeight="1" x14ac:dyDescent="0.25">
      <c r="B13" s="19"/>
      <c r="C13" s="19"/>
      <c r="D13" s="19"/>
      <c r="E13" s="18"/>
      <c r="F13" s="20"/>
      <c r="G13" s="20"/>
      <c r="H13" s="20"/>
      <c r="I13" s="20"/>
      <c r="J13" s="18"/>
      <c r="K13" s="19"/>
      <c r="L13" s="19"/>
      <c r="M13" s="19"/>
      <c r="N13" s="18"/>
      <c r="O13" s="20"/>
      <c r="P13" s="20"/>
      <c r="Q13" s="20"/>
      <c r="R13" s="18"/>
      <c r="S13" s="18"/>
      <c r="T13" s="18"/>
    </row>
    <row r="14" spans="2:20" x14ac:dyDescent="0.25">
      <c r="B14" s="18"/>
      <c r="C14" s="18"/>
      <c r="D14" s="18"/>
      <c r="E14" s="18"/>
      <c r="F14" s="18"/>
      <c r="G14" s="18"/>
      <c r="H14" s="18"/>
      <c r="I14" s="18"/>
      <c r="J14" s="18"/>
      <c r="K14" s="18"/>
      <c r="L14" s="18"/>
      <c r="M14" s="18"/>
      <c r="N14" s="18"/>
      <c r="O14" s="18"/>
      <c r="P14" s="18"/>
      <c r="Q14" s="18"/>
      <c r="R14" s="18"/>
      <c r="S14" s="18"/>
      <c r="T14" s="18"/>
    </row>
    <row r="15" spans="2:20" ht="15" customHeight="1" x14ac:dyDescent="0.25">
      <c r="B15" s="19" t="s">
        <v>90</v>
      </c>
      <c r="C15" s="19"/>
      <c r="D15" s="19"/>
      <c r="E15" s="18"/>
      <c r="F15" s="20" t="str">
        <f>_xlfn.XLOOKUP(F6,Department_s_Info[اسم الموظف],Department_s_Info[المؤهل الدراسي])</f>
        <v>بكالوريوس</v>
      </c>
      <c r="G15" s="20"/>
      <c r="H15" s="20"/>
      <c r="I15" s="18"/>
      <c r="J15" s="18"/>
      <c r="K15" s="19" t="s">
        <v>89</v>
      </c>
      <c r="L15" s="19"/>
      <c r="M15" s="19"/>
      <c r="N15" s="18"/>
      <c r="O15" s="21">
        <f>_xlfn.XLOOKUP(F6,Department_s_Info[اسم الموظف],Department_s_Info[Delta])</f>
        <v>-0.04</v>
      </c>
      <c r="P15" s="21"/>
      <c r="Q15" s="21"/>
      <c r="R15" s="18"/>
      <c r="S15" s="18"/>
      <c r="T15" s="18"/>
    </row>
    <row r="16" spans="2:20" ht="15" customHeight="1" x14ac:dyDescent="0.25">
      <c r="B16" s="19"/>
      <c r="C16" s="19"/>
      <c r="D16" s="19"/>
      <c r="E16" s="18"/>
      <c r="F16" s="20"/>
      <c r="G16" s="20"/>
      <c r="H16" s="20"/>
      <c r="I16" s="18"/>
      <c r="J16" s="18"/>
      <c r="K16" s="19"/>
      <c r="L16" s="19"/>
      <c r="M16" s="19"/>
      <c r="N16" s="18"/>
      <c r="O16" s="21"/>
      <c r="P16" s="21"/>
      <c r="Q16" s="21"/>
      <c r="R16" s="18"/>
      <c r="S16" s="18"/>
      <c r="T16" s="18"/>
    </row>
    <row r="17" spans="2:20" ht="15" customHeight="1" x14ac:dyDescent="0.25">
      <c r="B17" s="18"/>
      <c r="C17" s="18"/>
      <c r="D17" s="18"/>
      <c r="E17" s="18"/>
      <c r="F17" s="18"/>
      <c r="G17" s="18"/>
      <c r="H17" s="18"/>
      <c r="I17" s="18"/>
      <c r="J17" s="18"/>
      <c r="K17" s="18"/>
      <c r="L17" s="18"/>
      <c r="M17" s="18"/>
      <c r="N17" s="18"/>
      <c r="O17" s="18"/>
      <c r="P17" s="18"/>
      <c r="Q17" s="18"/>
      <c r="R17" s="18"/>
      <c r="S17" s="18"/>
      <c r="T17" s="18"/>
    </row>
    <row r="18" spans="2:20" ht="15" customHeight="1" x14ac:dyDescent="0.25">
      <c r="B18" s="18"/>
      <c r="C18" s="18"/>
      <c r="D18" s="18"/>
      <c r="E18" s="18"/>
      <c r="F18" s="18"/>
      <c r="G18" s="18"/>
      <c r="H18" s="18"/>
      <c r="I18" s="18"/>
      <c r="J18" s="18"/>
      <c r="K18" s="18"/>
      <c r="L18" s="18"/>
      <c r="M18" s="18"/>
      <c r="N18" s="18"/>
      <c r="O18" s="18"/>
      <c r="P18" s="18"/>
      <c r="Q18" s="18"/>
      <c r="R18" s="18"/>
      <c r="S18" s="18"/>
      <c r="T18" s="18"/>
    </row>
    <row r="19" spans="2:20" x14ac:dyDescent="0.25">
      <c r="B19" s="18"/>
      <c r="C19" s="18"/>
      <c r="D19" s="18"/>
      <c r="E19" s="18"/>
      <c r="F19" s="18"/>
      <c r="G19" s="18"/>
      <c r="H19" s="18"/>
      <c r="I19" s="18"/>
      <c r="J19" s="18"/>
      <c r="K19" s="18"/>
      <c r="L19" s="18"/>
      <c r="M19" s="18"/>
      <c r="N19" s="18"/>
      <c r="O19" s="18"/>
      <c r="P19" s="18"/>
      <c r="Q19" s="18"/>
      <c r="R19" s="18"/>
      <c r="S19" s="18"/>
      <c r="T19" s="18"/>
    </row>
    <row r="20" spans="2:20" x14ac:dyDescent="0.25">
      <c r="B20" s="18"/>
      <c r="C20" s="18"/>
      <c r="D20" s="18"/>
      <c r="E20" s="18"/>
      <c r="F20" s="18"/>
      <c r="G20" s="18"/>
      <c r="H20" s="18"/>
      <c r="I20" s="18"/>
      <c r="J20" s="18"/>
      <c r="K20" s="18"/>
      <c r="L20" s="18"/>
      <c r="M20" s="18"/>
      <c r="N20" s="18"/>
      <c r="O20" s="18"/>
      <c r="P20" s="18"/>
      <c r="Q20" s="18"/>
      <c r="R20" s="18"/>
      <c r="S20" s="18"/>
      <c r="T20" s="18"/>
    </row>
    <row r="21" spans="2:20" hidden="1" x14ac:dyDescent="0.25">
      <c r="B21" s="13"/>
      <c r="C21" s="13"/>
      <c r="D21" s="13"/>
      <c r="E21" s="13"/>
      <c r="F21" s="13"/>
      <c r="G21" s="13"/>
      <c r="H21" s="13"/>
      <c r="I21" s="13"/>
      <c r="J21" s="13"/>
      <c r="K21" s="13"/>
      <c r="L21" s="13"/>
      <c r="M21" s="13"/>
      <c r="N21" s="13"/>
      <c r="O21" s="13"/>
      <c r="P21" s="13"/>
      <c r="Q21" s="13"/>
      <c r="R21" s="13"/>
      <c r="S21" s="13"/>
      <c r="T21" s="13"/>
    </row>
  </sheetData>
  <mergeCells count="17">
    <mergeCell ref="B15:D16"/>
    <mergeCell ref="K15:M16"/>
    <mergeCell ref="F15:H16"/>
    <mergeCell ref="O15:Q16"/>
    <mergeCell ref="I12:I13"/>
    <mergeCell ref="F12:H13"/>
    <mergeCell ref="O6:Q7"/>
    <mergeCell ref="O9:Q10"/>
    <mergeCell ref="O12:Q13"/>
    <mergeCell ref="B6:D7"/>
    <mergeCell ref="F6:H7"/>
    <mergeCell ref="B9:D10"/>
    <mergeCell ref="B12:D13"/>
    <mergeCell ref="K6:M7"/>
    <mergeCell ref="K9:M10"/>
    <mergeCell ref="K12:M13"/>
    <mergeCell ref="F9:H10"/>
  </mergeCells>
  <conditionalFormatting sqref="O15:Q16">
    <cfRule type="iconSet" priority="1">
      <iconSet iconSet="3Symbols2">
        <cfvo type="percent" val="0"/>
        <cfvo type="num" val="0" gte="0"/>
        <cfvo type="num" val="0"/>
      </iconSet>
    </cfRule>
  </conditionalFormatting>
  <pageMargins left="0.7" right="0.7" top="0.75" bottom="0.75" header="0.3" footer="0.3"/>
  <pageSetup scale="51"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Choose the Employee Name " prompt="Choose the Employee Name " xr:uid="{9E306E25-A2CE-4679-8C05-4170B1ACCC79}">
          <x14:formula1>
            <xm:f>'Department''s Info'!$C$2:$C$101</xm:f>
          </x14:formula1>
          <xm:sqref>F6:H7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34E7A-127F-40E6-97A8-60C35A1CEF79}">
  <sheetPr codeName="Sheet5">
    <tabColor rgb="FF00B0F0"/>
  </sheetPr>
  <dimension ref="A1:V25"/>
  <sheetViews>
    <sheetView showRowColHeaders="0" zoomScale="80" zoomScaleNormal="80" workbookViewId="0"/>
  </sheetViews>
  <sheetFormatPr defaultColWidth="0" defaultRowHeight="15" zeroHeight="1" x14ac:dyDescent="0.25"/>
  <cols>
    <col min="1" max="18" width="9.140625" customWidth="1"/>
    <col min="23" max="16384" width="9.140625" hidden="1"/>
  </cols>
  <sheetData>
    <row r="1" spans="1:22" x14ac:dyDescent="0.25">
      <c r="A1" s="6"/>
      <c r="B1" s="6"/>
      <c r="C1" s="6"/>
      <c r="D1" s="6"/>
      <c r="E1" s="6"/>
      <c r="F1" s="6"/>
      <c r="G1" s="6"/>
      <c r="H1" s="6"/>
      <c r="I1" s="6"/>
      <c r="J1" s="6"/>
      <c r="K1" s="6"/>
      <c r="L1" s="6"/>
      <c r="M1" s="6"/>
      <c r="N1" s="6"/>
      <c r="O1" s="6"/>
      <c r="P1" s="6"/>
      <c r="Q1" s="6"/>
      <c r="R1" s="6"/>
    </row>
    <row r="2" spans="1:22" x14ac:dyDescent="0.25">
      <c r="A2" s="6"/>
      <c r="B2" s="6"/>
      <c r="C2" s="6"/>
      <c r="D2" s="6"/>
      <c r="E2" s="6"/>
      <c r="F2" s="6"/>
      <c r="G2" s="6"/>
      <c r="H2" s="6"/>
      <c r="I2" s="6"/>
      <c r="J2" s="6"/>
      <c r="K2" s="6"/>
      <c r="L2" s="6"/>
      <c r="M2" s="6"/>
      <c r="N2" s="6"/>
      <c r="O2" s="6"/>
      <c r="P2" s="6"/>
      <c r="Q2" s="6"/>
      <c r="R2" s="6"/>
      <c r="U2" s="14"/>
      <c r="V2" s="14"/>
    </row>
    <row r="3" spans="1:22" x14ac:dyDescent="0.25">
      <c r="A3" s="6"/>
      <c r="B3" s="6"/>
      <c r="C3" s="6"/>
      <c r="D3" s="6"/>
      <c r="E3" s="6"/>
      <c r="F3" s="6"/>
      <c r="G3" s="6"/>
      <c r="H3" s="6"/>
      <c r="I3" s="6"/>
      <c r="J3" s="6"/>
      <c r="K3" s="6"/>
      <c r="L3" s="6"/>
      <c r="M3" s="6"/>
      <c r="N3" s="6"/>
      <c r="O3" s="6"/>
      <c r="P3" s="6"/>
      <c r="Q3" s="6"/>
      <c r="R3" s="6"/>
      <c r="U3" s="14"/>
      <c r="V3" s="14"/>
    </row>
    <row r="4" spans="1:22" x14ac:dyDescent="0.25">
      <c r="A4" s="6"/>
      <c r="B4" s="6"/>
      <c r="C4" s="6"/>
      <c r="D4" s="6"/>
      <c r="E4" s="6"/>
      <c r="F4" s="6"/>
      <c r="G4" s="6"/>
      <c r="H4" s="6"/>
      <c r="I4" s="6"/>
      <c r="J4" s="6"/>
      <c r="K4" s="6"/>
      <c r="L4" s="6"/>
      <c r="M4" s="6"/>
      <c r="N4" s="6"/>
      <c r="O4" s="6"/>
      <c r="P4" s="6"/>
      <c r="Q4" s="6"/>
      <c r="R4" s="6"/>
      <c r="U4" s="14"/>
    </row>
    <row r="5" spans="1:22" x14ac:dyDescent="0.25">
      <c r="A5" s="6"/>
      <c r="B5" s="6"/>
      <c r="C5" s="6"/>
      <c r="D5" s="6"/>
      <c r="E5" s="6"/>
      <c r="F5" s="6"/>
      <c r="G5" s="6"/>
      <c r="H5" s="6"/>
      <c r="I5" s="6"/>
      <c r="J5" s="6"/>
      <c r="K5" s="6"/>
      <c r="L5" s="6"/>
      <c r="M5" s="6"/>
      <c r="N5" s="6"/>
      <c r="O5" s="6"/>
      <c r="P5" s="6"/>
      <c r="Q5" s="6"/>
      <c r="R5" s="6"/>
      <c r="U5" s="15">
        <f>AVERAGE(Department_s_Info[Delta])</f>
        <v>-0.10619999999999996</v>
      </c>
    </row>
    <row r="6" spans="1:22" x14ac:dyDescent="0.25">
      <c r="A6" s="6"/>
      <c r="B6" s="6"/>
      <c r="C6" s="6"/>
      <c r="D6" s="6"/>
      <c r="E6" s="6"/>
      <c r="F6" s="6"/>
      <c r="G6" s="6"/>
      <c r="H6" s="6"/>
      <c r="I6" s="6"/>
      <c r="J6" s="6"/>
      <c r="K6" s="6"/>
      <c r="L6" s="6"/>
      <c r="M6" s="6"/>
      <c r="N6" s="6"/>
      <c r="O6" s="6"/>
      <c r="P6" s="6"/>
      <c r="Q6" s="6"/>
      <c r="R6" s="6"/>
      <c r="U6" s="16">
        <f>AVERAGE(Department_s_Info[الراتب])</f>
        <v>13171.62</v>
      </c>
    </row>
    <row r="7" spans="1:22" x14ac:dyDescent="0.25">
      <c r="A7" s="6"/>
      <c r="B7" s="6"/>
      <c r="C7" s="6"/>
      <c r="D7" s="6"/>
      <c r="E7" s="6"/>
      <c r="F7" s="6"/>
      <c r="G7" s="6"/>
      <c r="H7" s="6"/>
      <c r="I7" s="6"/>
      <c r="J7" s="6"/>
      <c r="K7" s="6"/>
      <c r="L7" s="6"/>
      <c r="M7" s="6"/>
      <c r="N7" s="6"/>
      <c r="O7" s="6"/>
      <c r="P7" s="6"/>
      <c r="Q7" s="6"/>
      <c r="R7" s="6"/>
      <c r="U7" s="17">
        <f>AVERAGE(Department_s_Info[سنوات الخبرة])</f>
        <v>14.77</v>
      </c>
    </row>
    <row r="8" spans="1:22" x14ac:dyDescent="0.25">
      <c r="A8" s="6"/>
      <c r="B8" s="6"/>
      <c r="C8" s="6"/>
      <c r="D8" s="6"/>
      <c r="E8" s="6"/>
      <c r="F8" s="6"/>
      <c r="G8" s="6"/>
      <c r="H8" s="6"/>
      <c r="I8" s="6"/>
      <c r="J8" s="6"/>
      <c r="K8" s="6"/>
      <c r="L8" s="6"/>
      <c r="M8" s="6"/>
      <c r="N8" s="6"/>
      <c r="O8" s="6"/>
      <c r="P8" s="6"/>
      <c r="Q8" s="6"/>
      <c r="R8" s="6"/>
      <c r="U8" s="14">
        <f>COUNTIFS(Department_s_Info[Total Average],"&gt;=70%",Department_s_Info[Delta],"&gt;0")</f>
        <v>29</v>
      </c>
    </row>
    <row r="9" spans="1:22" x14ac:dyDescent="0.25">
      <c r="A9" s="6"/>
      <c r="B9" s="6"/>
      <c r="C9" s="6"/>
      <c r="D9" s="6"/>
      <c r="E9" s="6"/>
      <c r="F9" s="6"/>
      <c r="G9" s="6"/>
      <c r="H9" s="6"/>
      <c r="I9" s="6"/>
      <c r="J9" s="6"/>
      <c r="K9" s="6"/>
      <c r="L9" s="6"/>
      <c r="M9" s="6"/>
      <c r="N9" s="6"/>
      <c r="O9" s="6"/>
      <c r="P9" s="6"/>
      <c r="Q9" s="6"/>
      <c r="R9" s="6"/>
      <c r="U9" s="14"/>
    </row>
    <row r="10" spans="1:22" x14ac:dyDescent="0.25">
      <c r="A10" s="6"/>
      <c r="B10" s="6"/>
      <c r="C10" s="6"/>
      <c r="D10" s="6"/>
      <c r="E10" s="6"/>
      <c r="F10" s="6"/>
      <c r="G10" s="6"/>
      <c r="H10" s="6"/>
      <c r="I10" s="6"/>
      <c r="J10" s="6"/>
      <c r="K10" s="6"/>
      <c r="L10" s="6"/>
      <c r="M10" s="6"/>
      <c r="N10" s="6"/>
      <c r="O10" s="6"/>
      <c r="P10" s="6"/>
      <c r="Q10" s="6"/>
      <c r="R10" s="6"/>
      <c r="U10" s="14"/>
    </row>
    <row r="11" spans="1:22" x14ac:dyDescent="0.25">
      <c r="A11" s="6"/>
      <c r="B11" s="6"/>
      <c r="C11" s="6"/>
      <c r="D11" s="6"/>
      <c r="E11" s="6"/>
      <c r="F11" s="6"/>
      <c r="G11" s="6"/>
      <c r="H11" s="6"/>
      <c r="I11" s="6"/>
      <c r="J11" s="6"/>
      <c r="K11" s="6"/>
      <c r="L11" s="6"/>
      <c r="M11" s="6"/>
      <c r="N11" s="6"/>
      <c r="O11" s="6"/>
      <c r="P11" s="6"/>
      <c r="Q11" s="6"/>
      <c r="R11" s="6"/>
      <c r="U11" s="14"/>
    </row>
    <row r="12" spans="1:22" x14ac:dyDescent="0.25">
      <c r="A12" s="6"/>
      <c r="B12" s="6"/>
      <c r="C12" s="6"/>
      <c r="D12" s="6"/>
      <c r="E12" s="6"/>
      <c r="F12" s="6"/>
      <c r="G12" s="6"/>
      <c r="H12" s="6"/>
      <c r="I12" s="6"/>
      <c r="J12" s="6"/>
      <c r="K12" s="6"/>
      <c r="L12" s="6"/>
      <c r="M12" s="6"/>
      <c r="N12" s="6"/>
      <c r="O12" s="6"/>
      <c r="P12" s="6"/>
      <c r="Q12" s="6"/>
      <c r="R12" s="6"/>
      <c r="U12" s="14"/>
    </row>
    <row r="13" spans="1:22" x14ac:dyDescent="0.25">
      <c r="A13" s="6"/>
      <c r="B13" s="6"/>
      <c r="C13" s="6"/>
      <c r="D13" s="6"/>
      <c r="E13" s="6"/>
      <c r="F13" s="6"/>
      <c r="G13" s="6"/>
      <c r="H13" s="6"/>
      <c r="I13" s="6"/>
      <c r="J13" s="6"/>
      <c r="K13" s="6"/>
      <c r="L13" s="6"/>
      <c r="M13" s="6"/>
      <c r="N13" s="6"/>
      <c r="O13" s="6"/>
      <c r="P13" s="6"/>
      <c r="Q13" s="6"/>
      <c r="R13" s="6"/>
      <c r="U13" s="14"/>
    </row>
    <row r="14" spans="1:22" x14ac:dyDescent="0.25">
      <c r="A14" s="6"/>
      <c r="B14" s="6"/>
      <c r="C14" s="6"/>
      <c r="D14" s="6"/>
      <c r="E14" s="6"/>
      <c r="F14" s="6"/>
      <c r="G14" s="6"/>
      <c r="H14" s="6"/>
      <c r="I14" s="6"/>
      <c r="J14" s="6"/>
      <c r="K14" s="6"/>
      <c r="L14" s="6"/>
      <c r="M14" s="6"/>
      <c r="N14" s="6"/>
      <c r="O14" s="6"/>
      <c r="P14" s="6"/>
      <c r="Q14" s="6"/>
      <c r="R14" s="6"/>
      <c r="U14" s="14"/>
      <c r="V14" s="14"/>
    </row>
    <row r="15" spans="1:22" x14ac:dyDescent="0.25">
      <c r="A15" s="6"/>
      <c r="B15" s="6"/>
      <c r="C15" s="6"/>
      <c r="D15" s="6"/>
      <c r="E15" s="6"/>
      <c r="F15" s="6"/>
      <c r="G15" s="6"/>
      <c r="H15" s="6"/>
      <c r="I15" s="6"/>
      <c r="J15" s="6"/>
      <c r="K15" s="6"/>
      <c r="L15" s="6"/>
      <c r="M15" s="6"/>
      <c r="N15" s="6"/>
      <c r="O15" s="6"/>
      <c r="P15" s="6"/>
      <c r="Q15" s="6"/>
      <c r="R15" s="6"/>
    </row>
    <row r="16" spans="1:22" x14ac:dyDescent="0.25">
      <c r="A16" s="6"/>
      <c r="B16" s="6"/>
      <c r="C16" s="6"/>
      <c r="D16" s="6"/>
      <c r="E16" s="6"/>
      <c r="F16" s="6"/>
      <c r="G16" s="6"/>
      <c r="H16" s="6"/>
      <c r="I16" s="6"/>
      <c r="J16" s="6"/>
      <c r="K16" s="6"/>
      <c r="L16" s="6"/>
      <c r="M16" s="6"/>
      <c r="N16" s="6"/>
      <c r="O16" s="6"/>
      <c r="P16" s="6"/>
      <c r="Q16" s="6"/>
      <c r="R16" s="6"/>
    </row>
    <row r="17" spans="1:22" x14ac:dyDescent="0.25">
      <c r="A17" s="6"/>
      <c r="B17" s="6"/>
      <c r="C17" s="6"/>
      <c r="D17" s="6"/>
      <c r="E17" s="6"/>
      <c r="F17" s="6"/>
      <c r="G17" s="6"/>
      <c r="H17" s="6"/>
      <c r="I17" s="6"/>
      <c r="J17" s="6"/>
      <c r="K17" s="6"/>
      <c r="L17" s="6"/>
      <c r="M17" s="6"/>
      <c r="N17" s="6"/>
      <c r="O17" s="6"/>
      <c r="P17" s="6"/>
      <c r="Q17" s="6"/>
      <c r="R17" s="6"/>
      <c r="V17" s="12"/>
    </row>
    <row r="18" spans="1:22" x14ac:dyDescent="0.25">
      <c r="A18" s="6"/>
      <c r="B18" s="6"/>
      <c r="C18" s="6"/>
      <c r="D18" s="6"/>
      <c r="E18" s="6"/>
      <c r="F18" s="6"/>
      <c r="G18" s="6"/>
      <c r="H18" s="6"/>
      <c r="I18" s="6"/>
      <c r="J18" s="6"/>
      <c r="K18" s="6"/>
      <c r="L18" s="6"/>
      <c r="M18" s="6"/>
      <c r="N18" s="6"/>
      <c r="O18" s="6"/>
      <c r="P18" s="6"/>
      <c r="Q18" s="6"/>
      <c r="R18" s="6"/>
    </row>
    <row r="19" spans="1:22" x14ac:dyDescent="0.25">
      <c r="A19" s="6"/>
      <c r="B19" s="6"/>
      <c r="C19" s="6"/>
      <c r="D19" s="6"/>
      <c r="E19" s="6"/>
      <c r="F19" s="6"/>
      <c r="G19" s="6"/>
      <c r="H19" s="6"/>
      <c r="I19" s="6"/>
      <c r="J19" s="6"/>
      <c r="K19" s="6"/>
      <c r="L19" s="6"/>
      <c r="M19" s="6"/>
      <c r="N19" s="6"/>
      <c r="O19" s="6"/>
      <c r="P19" s="6"/>
      <c r="Q19" s="6"/>
      <c r="R19" s="6"/>
    </row>
    <row r="20" spans="1:22" x14ac:dyDescent="0.25">
      <c r="A20" s="6"/>
      <c r="B20" s="6"/>
      <c r="C20" s="6"/>
      <c r="D20" s="6"/>
      <c r="E20" s="6"/>
      <c r="F20" s="6"/>
      <c r="G20" s="6"/>
      <c r="H20" s="6"/>
      <c r="I20" s="6"/>
      <c r="J20" s="6"/>
      <c r="K20" s="6"/>
      <c r="L20" s="6"/>
      <c r="M20" s="6"/>
      <c r="N20" s="6"/>
      <c r="O20" s="6"/>
      <c r="P20" s="6"/>
      <c r="Q20" s="6"/>
      <c r="R20" s="6"/>
    </row>
    <row r="21" spans="1:22" x14ac:dyDescent="0.25">
      <c r="A21" s="6"/>
      <c r="B21" s="6"/>
      <c r="C21" s="6"/>
      <c r="D21" s="6"/>
      <c r="E21" s="6"/>
      <c r="F21" s="6"/>
      <c r="G21" s="6"/>
      <c r="H21" s="6"/>
      <c r="I21" s="6"/>
      <c r="J21" s="6"/>
      <c r="K21" s="6"/>
      <c r="L21" s="6"/>
      <c r="M21" s="6"/>
      <c r="N21" s="6"/>
      <c r="O21" s="6"/>
      <c r="P21" s="6"/>
      <c r="Q21" s="6"/>
      <c r="R21" s="6"/>
    </row>
    <row r="22" spans="1:22" x14ac:dyDescent="0.25">
      <c r="A22" s="6"/>
      <c r="B22" s="6"/>
      <c r="C22" s="6"/>
      <c r="D22" s="6"/>
      <c r="E22" s="6"/>
      <c r="F22" s="6"/>
      <c r="G22" s="6"/>
      <c r="H22" s="6"/>
      <c r="I22" s="6"/>
      <c r="J22" s="6"/>
      <c r="K22" s="6"/>
      <c r="L22" s="6"/>
      <c r="M22" s="6"/>
      <c r="N22" s="6"/>
      <c r="O22" s="6"/>
      <c r="P22" s="6"/>
      <c r="Q22" s="6"/>
      <c r="R22" s="6"/>
    </row>
    <row r="23" spans="1:22" x14ac:dyDescent="0.25">
      <c r="A23" s="6"/>
      <c r="B23" s="6"/>
      <c r="C23" s="6"/>
      <c r="D23" s="6"/>
      <c r="E23" s="6"/>
      <c r="F23" s="6"/>
      <c r="G23" s="6"/>
      <c r="H23" s="6"/>
      <c r="I23" s="6"/>
      <c r="J23" s="6"/>
      <c r="K23" s="6"/>
      <c r="L23" s="6"/>
      <c r="M23" s="6"/>
      <c r="N23" s="6"/>
      <c r="O23" s="6"/>
      <c r="P23" s="6"/>
      <c r="Q23" s="6"/>
      <c r="R23" s="6"/>
    </row>
    <row r="24" spans="1:22" x14ac:dyDescent="0.25">
      <c r="A24" s="6"/>
      <c r="B24" s="6"/>
      <c r="C24" s="6"/>
      <c r="D24" s="6"/>
      <c r="E24" s="6"/>
      <c r="F24" s="6"/>
      <c r="G24" s="6"/>
      <c r="H24" s="6"/>
      <c r="I24" s="6"/>
      <c r="J24" s="6"/>
      <c r="K24" s="6"/>
      <c r="L24" s="6"/>
      <c r="M24" s="6"/>
      <c r="N24" s="6"/>
      <c r="O24" s="6"/>
      <c r="P24" s="6"/>
      <c r="Q24" s="6"/>
      <c r="R24" s="6"/>
    </row>
    <row r="25" spans="1:22" hidden="1" x14ac:dyDescent="0.25">
      <c r="A25" s="6"/>
      <c r="B25" s="6"/>
      <c r="C25" s="6"/>
      <c r="D25" s="6"/>
      <c r="E25" s="6"/>
      <c r="F25" s="6"/>
      <c r="G25" s="6"/>
      <c r="H25" s="6"/>
      <c r="I25" s="6"/>
      <c r="J25" s="6"/>
      <c r="K25" s="6"/>
      <c r="L25" s="6"/>
      <c r="M25" s="6"/>
      <c r="N25" s="6"/>
      <c r="O25" s="6"/>
      <c r="P25" s="6"/>
      <c r="Q25" s="6"/>
      <c r="R2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B4F94-BC06-42C3-9A9B-AFADA99E25E8}">
  <sheetPr codeName="Sheet6">
    <tabColor rgb="FF7030A0"/>
  </sheetPr>
  <dimension ref="A1:V25"/>
  <sheetViews>
    <sheetView zoomScale="85" zoomScaleNormal="85" workbookViewId="0"/>
  </sheetViews>
  <sheetFormatPr defaultColWidth="0" defaultRowHeight="15" zeroHeight="1" x14ac:dyDescent="0.25"/>
  <cols>
    <col min="1" max="18" width="9.140625" customWidth="1"/>
    <col min="23" max="16384" width="9.140625" hidden="1"/>
  </cols>
  <sheetData>
    <row r="1" spans="1:22" x14ac:dyDescent="0.25">
      <c r="A1" s="6"/>
      <c r="B1" s="6"/>
      <c r="C1" s="6"/>
      <c r="D1" s="6"/>
      <c r="E1" s="6"/>
      <c r="F1" s="6"/>
      <c r="G1" s="6"/>
      <c r="H1" s="6"/>
      <c r="I1" s="6"/>
      <c r="J1" s="6"/>
      <c r="K1" s="6"/>
      <c r="L1" s="6"/>
      <c r="M1" s="6"/>
      <c r="N1" s="6"/>
      <c r="O1" s="6"/>
      <c r="P1" s="6"/>
      <c r="Q1" s="6"/>
      <c r="R1" s="6"/>
    </row>
    <row r="2" spans="1:22" x14ac:dyDescent="0.25">
      <c r="A2" s="6"/>
      <c r="B2" s="6"/>
      <c r="C2" s="6"/>
      <c r="D2" s="6"/>
      <c r="E2" s="6"/>
      <c r="F2" s="6"/>
      <c r="G2" s="6"/>
      <c r="H2" s="6"/>
      <c r="I2" s="6"/>
      <c r="J2" s="6"/>
      <c r="K2" s="6"/>
      <c r="L2" s="6"/>
      <c r="M2" s="6"/>
      <c r="N2" s="6"/>
      <c r="O2" s="6"/>
      <c r="P2" s="6"/>
      <c r="Q2" s="6"/>
      <c r="R2" s="6"/>
    </row>
    <row r="3" spans="1:22" x14ac:dyDescent="0.25">
      <c r="A3" s="6"/>
      <c r="B3" s="6"/>
      <c r="C3" s="6"/>
      <c r="D3" s="6"/>
      <c r="E3" s="6"/>
      <c r="F3" s="6"/>
      <c r="G3" s="6"/>
      <c r="H3" s="6"/>
      <c r="I3" s="6"/>
      <c r="J3" s="6"/>
      <c r="K3" s="6"/>
      <c r="L3" s="6"/>
      <c r="M3" s="6"/>
      <c r="N3" s="6"/>
      <c r="O3" s="6"/>
      <c r="P3" s="6"/>
      <c r="Q3" s="6"/>
      <c r="R3" s="6"/>
      <c r="U3" s="14"/>
      <c r="V3" s="14"/>
    </row>
    <row r="4" spans="1:22" x14ac:dyDescent="0.25">
      <c r="A4" s="6"/>
      <c r="B4" s="6"/>
      <c r="C4" s="6"/>
      <c r="D4" s="6"/>
      <c r="E4" s="6"/>
      <c r="F4" s="6"/>
      <c r="G4" s="6"/>
      <c r="H4" s="6"/>
      <c r="I4" s="6"/>
      <c r="J4" s="6"/>
      <c r="K4" s="6"/>
      <c r="L4" s="6"/>
      <c r="M4" s="6"/>
      <c r="N4" s="6"/>
      <c r="O4" s="6"/>
      <c r="P4" s="6"/>
      <c r="Q4" s="6"/>
      <c r="R4" s="6"/>
      <c r="U4" s="14"/>
      <c r="V4" s="14"/>
    </row>
    <row r="5" spans="1:22" x14ac:dyDescent="0.25">
      <c r="A5" s="6"/>
      <c r="B5" s="6"/>
      <c r="C5" s="6"/>
      <c r="D5" s="6"/>
      <c r="E5" s="6"/>
      <c r="F5" s="6"/>
      <c r="G5" s="6"/>
      <c r="H5" s="6"/>
      <c r="I5" s="6"/>
      <c r="J5" s="6"/>
      <c r="K5" s="6"/>
      <c r="L5" s="6"/>
      <c r="M5" s="6"/>
      <c r="N5" s="6"/>
      <c r="O5" s="6"/>
      <c r="P5" s="6"/>
      <c r="Q5" s="6"/>
      <c r="R5" s="6"/>
      <c r="U5" s="15">
        <f>AVERAGE(Department_s_Info[Delta])</f>
        <v>-0.10619999999999996</v>
      </c>
      <c r="V5" s="14"/>
    </row>
    <row r="6" spans="1:22" x14ac:dyDescent="0.25">
      <c r="A6" s="6"/>
      <c r="B6" s="6"/>
      <c r="C6" s="6"/>
      <c r="D6" s="6"/>
      <c r="E6" s="6"/>
      <c r="F6" s="6"/>
      <c r="G6" s="6"/>
      <c r="H6" s="6"/>
      <c r="I6" s="6"/>
      <c r="J6" s="6"/>
      <c r="K6" s="6"/>
      <c r="L6" s="6"/>
      <c r="M6" s="6"/>
      <c r="N6" s="6"/>
      <c r="O6" s="6"/>
      <c r="P6" s="6"/>
      <c r="Q6" s="6"/>
      <c r="R6" s="6"/>
      <c r="U6" s="16">
        <f>AVERAGE(Department_s_Info[الراتب])</f>
        <v>13171.62</v>
      </c>
      <c r="V6" s="14"/>
    </row>
    <row r="7" spans="1:22" x14ac:dyDescent="0.25">
      <c r="A7" s="6"/>
      <c r="B7" s="6"/>
      <c r="C7" s="6"/>
      <c r="D7" s="6"/>
      <c r="E7" s="6"/>
      <c r="F7" s="6"/>
      <c r="G7" s="6"/>
      <c r="H7" s="6"/>
      <c r="I7" s="6"/>
      <c r="J7" s="6"/>
      <c r="K7" s="6"/>
      <c r="L7" s="6"/>
      <c r="M7" s="6"/>
      <c r="N7" s="6"/>
      <c r="O7" s="6"/>
      <c r="P7" s="6"/>
      <c r="Q7" s="6"/>
      <c r="R7" s="6"/>
      <c r="U7" s="17">
        <f>AVERAGE(Department_s_Info[سنوات الخبرة])</f>
        <v>14.77</v>
      </c>
      <c r="V7" s="14"/>
    </row>
    <row r="8" spans="1:22" x14ac:dyDescent="0.25">
      <c r="A8" s="6"/>
      <c r="B8" s="6"/>
      <c r="C8" s="6"/>
      <c r="D8" s="6"/>
      <c r="E8" s="6"/>
      <c r="F8" s="6"/>
      <c r="G8" s="6"/>
      <c r="H8" s="6"/>
      <c r="I8" s="6"/>
      <c r="J8" s="6"/>
      <c r="K8" s="6"/>
      <c r="L8" s="6"/>
      <c r="M8" s="6"/>
      <c r="N8" s="6"/>
      <c r="O8" s="6"/>
      <c r="P8" s="6"/>
      <c r="Q8" s="6"/>
      <c r="R8" s="6"/>
      <c r="U8" s="14">
        <f>COUNTIFS(Department_s_Info[Total Average],"&gt;=70%",Department_s_Info[Delta],"&gt;0")</f>
        <v>29</v>
      </c>
    </row>
    <row r="9" spans="1:22" x14ac:dyDescent="0.25">
      <c r="A9" s="6"/>
      <c r="B9" s="6"/>
      <c r="C9" s="6"/>
      <c r="D9" s="6"/>
      <c r="E9" s="6"/>
      <c r="F9" s="6"/>
      <c r="G9" s="6"/>
      <c r="H9" s="6"/>
      <c r="I9" s="6"/>
      <c r="J9" s="6"/>
      <c r="K9" s="6"/>
      <c r="L9" s="6"/>
      <c r="M9" s="6"/>
      <c r="N9" s="6"/>
      <c r="O9" s="6"/>
      <c r="P9" s="6"/>
      <c r="Q9" s="6"/>
      <c r="R9" s="6"/>
      <c r="U9" s="14"/>
      <c r="V9" s="14"/>
    </row>
    <row r="10" spans="1:22" x14ac:dyDescent="0.25">
      <c r="A10" s="6"/>
      <c r="B10" s="6"/>
      <c r="C10" s="6"/>
      <c r="D10" s="6"/>
      <c r="E10" s="6"/>
      <c r="F10" s="6"/>
      <c r="G10" s="6"/>
      <c r="H10" s="6"/>
      <c r="I10" s="6"/>
      <c r="J10" s="6"/>
      <c r="K10" s="6"/>
      <c r="L10" s="6"/>
      <c r="M10" s="6"/>
      <c r="N10" s="6"/>
      <c r="O10" s="6"/>
      <c r="P10" s="6"/>
      <c r="Q10" s="6"/>
      <c r="R10" s="6"/>
      <c r="U10" s="14"/>
      <c r="V10" s="14"/>
    </row>
    <row r="11" spans="1:22" x14ac:dyDescent="0.25">
      <c r="A11" s="6"/>
      <c r="B11" s="6"/>
      <c r="C11" s="6"/>
      <c r="D11" s="6"/>
      <c r="E11" s="6"/>
      <c r="F11" s="6"/>
      <c r="G11" s="6"/>
      <c r="H11" s="6"/>
      <c r="I11" s="6"/>
      <c r="J11" s="6"/>
      <c r="K11" s="6"/>
      <c r="L11" s="6"/>
      <c r="M11" s="6"/>
      <c r="N11" s="6"/>
      <c r="O11" s="6"/>
      <c r="P11" s="6"/>
      <c r="Q11" s="6"/>
      <c r="R11" s="6"/>
      <c r="U11" s="14"/>
      <c r="V11" s="14"/>
    </row>
    <row r="12" spans="1:22" x14ac:dyDescent="0.25">
      <c r="A12" s="6"/>
      <c r="B12" s="6"/>
      <c r="C12" s="6"/>
      <c r="D12" s="6"/>
      <c r="E12" s="6"/>
      <c r="F12" s="6"/>
      <c r="G12" s="6"/>
      <c r="H12" s="6"/>
      <c r="I12" s="6"/>
      <c r="J12" s="6"/>
      <c r="K12" s="6"/>
      <c r="L12" s="6"/>
      <c r="M12" s="6"/>
      <c r="N12" s="6"/>
      <c r="O12" s="6"/>
      <c r="P12" s="6"/>
      <c r="Q12" s="6"/>
      <c r="R12" s="6"/>
    </row>
    <row r="13" spans="1:22" x14ac:dyDescent="0.25">
      <c r="A13" s="6"/>
      <c r="B13" s="6"/>
      <c r="C13" s="6"/>
      <c r="D13" s="6"/>
      <c r="E13" s="6"/>
      <c r="F13" s="6"/>
      <c r="G13" s="6"/>
      <c r="H13" s="6"/>
      <c r="I13" s="6"/>
      <c r="J13" s="6"/>
      <c r="K13" s="6"/>
      <c r="L13" s="6"/>
      <c r="M13" s="6"/>
      <c r="N13" s="6"/>
      <c r="O13" s="6"/>
      <c r="P13" s="6"/>
      <c r="Q13" s="6"/>
      <c r="R13" s="6"/>
    </row>
    <row r="14" spans="1:22" x14ac:dyDescent="0.25">
      <c r="A14" s="6"/>
      <c r="B14" s="6"/>
      <c r="C14" s="6"/>
      <c r="D14" s="6"/>
      <c r="E14" s="6"/>
      <c r="F14" s="6"/>
      <c r="G14" s="6"/>
      <c r="H14" s="6"/>
      <c r="I14" s="6"/>
      <c r="J14" s="6"/>
      <c r="K14" s="6"/>
      <c r="L14" s="6"/>
      <c r="M14" s="6"/>
      <c r="N14" s="6"/>
      <c r="O14" s="6"/>
      <c r="P14" s="6"/>
      <c r="Q14" s="6"/>
      <c r="R14" s="6"/>
    </row>
    <row r="15" spans="1:22" x14ac:dyDescent="0.25">
      <c r="A15" s="6"/>
      <c r="B15" s="6"/>
      <c r="C15" s="6"/>
      <c r="D15" s="6"/>
      <c r="E15" s="6"/>
      <c r="F15" s="6"/>
      <c r="G15" s="6"/>
      <c r="H15" s="6"/>
      <c r="I15" s="6"/>
      <c r="J15" s="6"/>
      <c r="K15" s="6"/>
      <c r="L15" s="6"/>
      <c r="M15" s="6"/>
      <c r="N15" s="6"/>
      <c r="O15" s="6"/>
      <c r="P15" s="6"/>
      <c r="Q15" s="6"/>
      <c r="R15" s="6"/>
    </row>
    <row r="16" spans="1:22" x14ac:dyDescent="0.25">
      <c r="A16" s="6"/>
      <c r="B16" s="6"/>
      <c r="C16" s="6"/>
      <c r="D16" s="6"/>
      <c r="E16" s="6"/>
      <c r="F16" s="6"/>
      <c r="G16" s="6"/>
      <c r="H16" s="6"/>
      <c r="I16" s="6"/>
      <c r="J16" s="6"/>
      <c r="K16" s="6"/>
      <c r="L16" s="6"/>
      <c r="M16" s="6"/>
      <c r="N16" s="6"/>
      <c r="O16" s="6"/>
      <c r="P16" s="6"/>
      <c r="Q16" s="6"/>
      <c r="R16" s="6"/>
    </row>
    <row r="17" spans="1:22" x14ac:dyDescent="0.25">
      <c r="A17" s="6"/>
      <c r="B17" s="6"/>
      <c r="C17" s="6"/>
      <c r="D17" s="6"/>
      <c r="E17" s="6"/>
      <c r="F17" s="6"/>
      <c r="G17" s="6"/>
      <c r="H17" s="6"/>
      <c r="I17" s="6"/>
      <c r="J17" s="6"/>
      <c r="K17" s="6"/>
      <c r="L17" s="6"/>
      <c r="M17" s="6"/>
      <c r="N17" s="6"/>
      <c r="O17" s="6"/>
      <c r="P17" s="6"/>
      <c r="Q17" s="6"/>
      <c r="R17" s="6"/>
      <c r="V17" s="12"/>
    </row>
    <row r="18" spans="1:22" x14ac:dyDescent="0.25">
      <c r="A18" s="6"/>
      <c r="B18" s="6"/>
      <c r="C18" s="6"/>
      <c r="D18" s="6"/>
      <c r="E18" s="6"/>
      <c r="F18" s="6"/>
      <c r="G18" s="6"/>
      <c r="H18" s="6"/>
      <c r="I18" s="6"/>
      <c r="J18" s="6"/>
      <c r="K18" s="6"/>
      <c r="L18" s="6"/>
      <c r="M18" s="6"/>
      <c r="N18" s="6"/>
      <c r="O18" s="6"/>
      <c r="P18" s="6"/>
      <c r="Q18" s="6"/>
      <c r="R18" s="6"/>
    </row>
    <row r="19" spans="1:22" x14ac:dyDescent="0.25">
      <c r="A19" s="6"/>
      <c r="B19" s="6"/>
      <c r="C19" s="6"/>
      <c r="D19" s="6"/>
      <c r="E19" s="6"/>
      <c r="F19" s="6"/>
      <c r="G19" s="6"/>
      <c r="H19" s="6"/>
      <c r="I19" s="6"/>
      <c r="J19" s="6"/>
      <c r="K19" s="6"/>
      <c r="L19" s="6"/>
      <c r="M19" s="6"/>
      <c r="N19" s="6"/>
      <c r="O19" s="6"/>
      <c r="P19" s="6"/>
      <c r="Q19" s="6"/>
      <c r="R19" s="6"/>
    </row>
    <row r="20" spans="1:22" x14ac:dyDescent="0.25">
      <c r="A20" s="6"/>
      <c r="B20" s="6"/>
      <c r="C20" s="6"/>
      <c r="D20" s="6"/>
      <c r="E20" s="6"/>
      <c r="F20" s="6"/>
      <c r="G20" s="6"/>
      <c r="H20" s="6"/>
      <c r="I20" s="6"/>
      <c r="J20" s="6"/>
      <c r="K20" s="6"/>
      <c r="L20" s="6"/>
      <c r="M20" s="6"/>
      <c r="N20" s="6"/>
      <c r="O20" s="6"/>
      <c r="P20" s="6"/>
      <c r="Q20" s="6"/>
      <c r="R20" s="6"/>
    </row>
    <row r="21" spans="1:22" x14ac:dyDescent="0.25">
      <c r="A21" s="6"/>
      <c r="B21" s="6"/>
      <c r="C21" s="6"/>
      <c r="D21" s="6"/>
      <c r="E21" s="6"/>
      <c r="F21" s="6"/>
      <c r="G21" s="6"/>
      <c r="H21" s="6"/>
      <c r="I21" s="6"/>
      <c r="J21" s="6"/>
      <c r="K21" s="6"/>
      <c r="L21" s="6"/>
      <c r="M21" s="6"/>
      <c r="N21" s="6"/>
      <c r="O21" s="6"/>
      <c r="P21" s="6"/>
      <c r="Q21" s="6"/>
      <c r="R21" s="6"/>
    </row>
    <row r="22" spans="1:22" x14ac:dyDescent="0.25">
      <c r="A22" s="6"/>
      <c r="B22" s="6"/>
      <c r="C22" s="6"/>
      <c r="D22" s="6"/>
      <c r="E22" s="6"/>
      <c r="F22" s="6"/>
      <c r="G22" s="6"/>
      <c r="H22" s="6"/>
      <c r="I22" s="6"/>
      <c r="J22" s="6"/>
      <c r="K22" s="6"/>
      <c r="L22" s="6"/>
      <c r="M22" s="6"/>
      <c r="N22" s="6"/>
      <c r="O22" s="6"/>
      <c r="P22" s="6"/>
      <c r="Q22" s="6"/>
      <c r="R22" s="6"/>
    </row>
    <row r="23" spans="1:22" x14ac:dyDescent="0.25">
      <c r="A23" s="6"/>
      <c r="B23" s="6"/>
      <c r="C23" s="6"/>
      <c r="D23" s="6"/>
      <c r="E23" s="6"/>
      <c r="F23" s="6"/>
      <c r="G23" s="6"/>
      <c r="H23" s="6"/>
      <c r="I23" s="6"/>
      <c r="J23" s="6"/>
      <c r="K23" s="6"/>
      <c r="L23" s="6"/>
      <c r="M23" s="6"/>
      <c r="N23" s="6"/>
      <c r="O23" s="6"/>
      <c r="P23" s="6"/>
      <c r="Q23" s="6"/>
      <c r="R23" s="6"/>
    </row>
    <row r="24" spans="1:22" x14ac:dyDescent="0.25">
      <c r="A24" s="6"/>
      <c r="B24" s="6"/>
      <c r="C24" s="6"/>
      <c r="D24" s="6"/>
      <c r="E24" s="6"/>
      <c r="F24" s="6"/>
      <c r="G24" s="6"/>
      <c r="H24" s="6"/>
      <c r="I24" s="6"/>
      <c r="J24" s="6"/>
      <c r="K24" s="6"/>
      <c r="L24" s="6"/>
      <c r="M24" s="6"/>
      <c r="N24" s="6"/>
      <c r="O24" s="6"/>
      <c r="P24" s="6"/>
      <c r="Q24" s="6"/>
      <c r="R24" s="6"/>
    </row>
    <row r="25" spans="1:22" x14ac:dyDescent="0.25">
      <c r="A25" s="6"/>
      <c r="B25" s="6"/>
      <c r="C25" s="6"/>
      <c r="D25" s="6"/>
      <c r="E25" s="6"/>
      <c r="F25" s="6"/>
      <c r="G25" s="6"/>
      <c r="H25" s="6"/>
      <c r="I25" s="6"/>
      <c r="J25" s="6"/>
      <c r="K25" s="6"/>
      <c r="L25" s="6"/>
      <c r="M25" s="6"/>
      <c r="N25" s="6"/>
      <c r="O25" s="6"/>
      <c r="P25" s="6"/>
      <c r="Q25" s="6"/>
      <c r="R2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��'DE3D3D'D1BE 'DH8JAJ'3E 'DEH8A'DH8JA)'DEHB9*'1J. 'D*9JJF3FH'* 'D.(1)*'1J. 'DEJD'/'D9E1'DE$GD 'D/1'3J'D1'*(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��'DE3D3D'D1BE 'DH8JAJ'3E 'DEH8A'DH8JA)'DEHB9*'1J. 'D*9JJF*'1J. 'DEJD'/'DE$GD 'D/1'3J'D1'*(3FH'* 'D.(1)'D9E1'DE3D3D'D1BE 'DH8JAJ'3E 'DEH8A'DH8JA)'DEHB9*'1J. 'D*9JJF*'1J. 'DEJD'/'DE$GD 'D/1'3J'D1'*(3FH'* 'D.(1)'D9E1
</file>

<file path=customXml/item17.xml>��'DE3D3D'DE3D3D'DE3D3D'DE3D3D'D1BE 'DH8JAJ'3E 'DEH8A'DH8JA)'DEHB9*'1J. 'D*9JJF3FH'* 'D.(1)*'1J. 'DEJD'/'D9E1'DE$GD 'D/1'3J'D1'*('DE3D3D'DE3D3D'DE3D3D'DE3D3D'DE3D3D'DE3D3D'DE3D3D'DE3D3D'DE3D3D'DE3D3D'D1BE 'DH8JAJ'3E 'DEH8A'DH8JA)'DEHB9*'1J. 'D*9JJF3FH'* 'D.(1)*'1J. 'DEJD'/'D9E1'DE$GD 'D/1'3J'D1'*('DE3D3D'DE3D3D'DE3D3D'DE3D3D'DE3D3D'DE3D3D
</file>

<file path=customXml/itemProps1.xml><?xml version="1.0" encoding="utf-8"?>
<ds:datastoreItem xmlns:ds="http://schemas.openxmlformats.org/officeDocument/2006/customXml" ds:itemID="{ACE22963-98BD-4C72-899A-53A8833163E3}">
  <ds:schemaRefs/>
</ds:datastoreItem>
</file>

<file path=customXml/itemProps2.xml><?xml version="1.0" encoding="utf-8"?>
<ds:datastoreItem xmlns:ds="http://schemas.openxmlformats.org/officeDocument/2006/customXml" ds:itemID="{12876699-9160-4731-AE08-11F077E3A57B}">
  <ds:schemaRefs/>
</ds:datastoreItem>
</file>

<file path=customXml/itemProps3.xml><?xml version="1.0" encoding="utf-8"?>
<ds:datastoreItem xmlns:ds="http://schemas.openxmlformats.org/officeDocument/2006/customXml" ds:itemID="{3529184B-F14B-4FE0-A31D-056BE4A5CA64}">
  <ds:schemaRefs/>
</ds:datastoreItem>
</file>

<file path=customXml/itemProps4.xml><?xml version="1.0" encoding="utf-8"?>
<ds:datastoreItem xmlns:ds="http://schemas.openxmlformats.org/officeDocument/2006/customXml" ds:itemID="{01ECFAF1-ABA4-4DE7-9AEB-C91FD79C9CB4}">
  <ds:schemaRefs/>
</ds:datastoreItem>
</file>

<file path=customXml/itemProps5.xml><?xml version="1.0" encoding="utf-8"?>
<ds:datastoreItem xmlns:ds="http://schemas.openxmlformats.org/officeDocument/2006/customXml" ds:itemID="{C670197F-955C-4203-85D9-34ED82CCE9CC}">
  <ds:schemaRefs/>
</ds:datastoreItem>
</file>

<file path=customXml/itemProps6.xml><?xml version="1.0" encoding="utf-8"?>
<ds:datastoreItem xmlns:ds="http://schemas.openxmlformats.org/officeDocument/2006/customXml" ds:itemID="{ABF6BEC6-1C03-4DAC-B9B9-B4CCB770828B}">
  <ds:schemaRefs/>
</ds:datastoreItem>
</file>

<file path=customXml/itemProps7.xml><?xml version="1.0" encoding="utf-8"?>
<ds:datastoreItem xmlns:ds="http://schemas.openxmlformats.org/officeDocument/2006/customXml" ds:itemID="{DEDCA625-A187-4A0A-B1B4-9325232848E7}">
  <ds:schemaRefs/>
</ds:datastoreItem>
</file>

<file path=customXml/itemProps8.xml><?xml version="1.0" encoding="utf-8"?>
<ds:datastoreItem xmlns:ds="http://schemas.openxmlformats.org/officeDocument/2006/customXml" ds:itemID="{D1FF1775-6BA5-4679-A23F-0860C3FB103B}">
  <ds:schemaRefs/>
</ds:datastoreItem>
</file>

<file path=customXml/itemProps9.xml><?xml version="1.0" encoding="utf-8"?>
<ds:datastoreItem xmlns:ds="http://schemas.openxmlformats.org/officeDocument/2006/customXml" ds:itemID="{4C763FAA-BC96-4448-984C-856780941032}">
  <ds:schemaRefs/>
</ds:datastoreItem>
</file>

<file path=customXml/itemProps10.xml><?xml version="1.0" encoding="utf-8"?>
<ds:datastoreItem xmlns:ds="http://schemas.openxmlformats.org/officeDocument/2006/customXml" ds:itemID="{763A1061-3F04-4480-8ADF-C035486AFFD7}">
  <ds:schemaRefs>
    <ds:schemaRef ds:uri="http://schemas.microsoft.com/DataMashup"/>
  </ds:schemaRefs>
</ds:datastoreItem>
</file>

<file path=customXml/itemProps11.xml><?xml version="1.0" encoding="utf-8"?>
<ds:datastoreItem xmlns:ds="http://schemas.openxmlformats.org/officeDocument/2006/customXml" ds:itemID="{8194C092-4015-472B-A92D-323A197494CE}">
  <ds:schemaRefs/>
</ds:datastoreItem>
</file>

<file path=customXml/itemProps12.xml><?xml version="1.0" encoding="utf-8"?>
<ds:datastoreItem xmlns:ds="http://schemas.openxmlformats.org/officeDocument/2006/customXml" ds:itemID="{254C4E9D-85F1-4619-84E2-7878CD3EC36C}">
  <ds:schemaRefs/>
</ds:datastoreItem>
</file>

<file path=customXml/itemProps13.xml><?xml version="1.0" encoding="utf-8"?>
<ds:datastoreItem xmlns:ds="http://schemas.openxmlformats.org/officeDocument/2006/customXml" ds:itemID="{627F615A-91B1-4BC0-9C5A-F238A6CE93D8}">
  <ds:schemaRefs/>
</ds:datastoreItem>
</file>

<file path=customXml/itemProps14.xml><?xml version="1.0" encoding="utf-8"?>
<ds:datastoreItem xmlns:ds="http://schemas.openxmlformats.org/officeDocument/2006/customXml" ds:itemID="{E4EFEBE3-370C-43E3-855E-927703CED74F}">
  <ds:schemaRefs/>
</ds:datastoreItem>
</file>

<file path=customXml/itemProps15.xml><?xml version="1.0" encoding="utf-8"?>
<ds:datastoreItem xmlns:ds="http://schemas.openxmlformats.org/officeDocument/2006/customXml" ds:itemID="{E4FC0286-E801-4843-8DE9-7AD156A84B43}">
  <ds:schemaRefs/>
</ds:datastoreItem>
</file>

<file path=customXml/itemProps16.xml><?xml version="1.0" encoding="utf-8"?>
<ds:datastoreItem xmlns:ds="http://schemas.openxmlformats.org/officeDocument/2006/customXml" ds:itemID="{37837651-F00D-4C52-9051-743495CE21EC}">
  <ds:schemaRefs/>
</ds:datastoreItem>
</file>

<file path=customXml/itemProps17.xml><?xml version="1.0" encoding="utf-8"?>
<ds:datastoreItem xmlns:ds="http://schemas.openxmlformats.org/officeDocument/2006/customXml" ds:itemID="{7EA6A232-0925-4230-B1D2-4F55DE9251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Department's Info</vt:lpstr>
      <vt:lpstr>Calculation </vt:lpstr>
      <vt:lpstr>Navigation</vt:lpstr>
      <vt:lpstr>emplyee Info </vt:lpstr>
      <vt:lpstr>location overview</vt:lpstr>
      <vt:lpstr>Department Overview</vt:lpstr>
      <vt:lpstr>'emplyee Info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محمد ايمن محمد ابراهيم ( 123180348 )</cp:lastModifiedBy>
  <dcterms:created xsi:type="dcterms:W3CDTF">2015-06-05T18:17:20Z</dcterms:created>
  <dcterms:modified xsi:type="dcterms:W3CDTF">2025-06-18T16:16:48Z</dcterms:modified>
</cp:coreProperties>
</file>